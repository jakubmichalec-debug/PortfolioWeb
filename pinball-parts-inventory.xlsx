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kub\Desktop\PORTFOLIO\"/>
    </mc:Choice>
  </mc:AlternateContent>
  <xr:revisionPtr revIDLastSave="0" documentId="13_ncr:1_{4DA5A2D7-E9B7-4A48-9303-F4B98E94B4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s" sheetId="1" r:id="rId1"/>
    <sheet name="Summary" sheetId="2" r:id="rId2"/>
    <sheet name="Not pinball" sheetId="3" r:id="rId3"/>
    <sheet name="How to use" sheetId="4" r:id="rId4"/>
  </sheets>
  <definedNames>
    <definedName name="_xlnm._FilterDatabase" localSheetId="0" hidden="1">Parts!$A$4:$L$82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2" l="1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B5" i="2"/>
  <c r="B4" i="2"/>
  <c r="B3" i="2"/>
  <c r="F20" i="2" l="1"/>
  <c r="F28" i="2"/>
  <c r="F36" i="2"/>
  <c r="F44" i="2"/>
  <c r="B6" i="2"/>
  <c r="F11" i="2"/>
  <c r="F19" i="2"/>
  <c r="F27" i="2"/>
  <c r="F35" i="2"/>
  <c r="F43" i="2"/>
  <c r="F12" i="2"/>
  <c r="D51" i="2"/>
  <c r="F14" i="2"/>
  <c r="F22" i="2"/>
  <c r="F30" i="2"/>
  <c r="F38" i="2"/>
  <c r="F46" i="2"/>
  <c r="F16" i="2"/>
  <c r="E51" i="2"/>
  <c r="F17" i="2"/>
  <c r="F25" i="2"/>
  <c r="F33" i="2"/>
  <c r="F41" i="2"/>
  <c r="F49" i="2"/>
  <c r="F31" i="2"/>
  <c r="F39" i="2"/>
  <c r="F47" i="2"/>
  <c r="F15" i="2"/>
  <c r="F23" i="2"/>
  <c r="B7" i="2"/>
  <c r="F18" i="2"/>
  <c r="F26" i="2"/>
  <c r="F34" i="2"/>
  <c r="F42" i="2"/>
  <c r="F50" i="2"/>
  <c r="F21" i="2"/>
  <c r="F29" i="2"/>
  <c r="F37" i="2"/>
  <c r="F45" i="2"/>
  <c r="F13" i="2"/>
  <c r="F24" i="2"/>
  <c r="F32" i="2"/>
  <c r="F40" i="2"/>
  <c r="F48" i="2"/>
  <c r="C51" i="2"/>
  <c r="F51" i="2" l="1"/>
</calcChain>
</file>

<file path=xl/sharedStrings.xml><?xml version="1.0" encoding="utf-8"?>
<sst xmlns="http://schemas.openxmlformats.org/spreadsheetml/2006/main" count="777" uniqueCount="379">
  <si>
    <t>Pinball machine - parts inventory (every version I found in your fablab folder)</t>
  </si>
  <si>
    <t>How: click a yellow cell in column C and pick  Used  or  Not used.  Blank = not decided yet.  Rows turn green (used) or grey (not used); the Summary tab counts for you.</t>
  </si>
  <si>
    <t>Tip: filter column C by 'Used' to get your final parts list.  Don't sort - the preview pictures stay where they are.  Hints are clues, not proof (a part can be sliced and still never used).</t>
  </si>
  <si>
    <t>Component</t>
  </si>
  <si>
    <t>Version</t>
  </si>
  <si>
    <t>USED IN FINAL MACHINE?</t>
  </si>
  <si>
    <t>FreeCAD preview</t>
  </si>
  <si>
    <t>Part / outline preview</t>
  </si>
  <si>
    <t>What it is (my guess)</t>
  </si>
  <si>
    <t>Hints from your files</t>
  </si>
  <si>
    <t>Last edited</t>
  </si>
  <si>
    <t>Your notes</t>
  </si>
  <si>
    <t>Made how</t>
  </si>
  <si>
    <t>Group</t>
  </si>
  <si>
    <t>Files found</t>
  </si>
  <si>
    <t>Box (early)</t>
  </si>
  <si>
    <t>BoxProject (Feb)</t>
  </si>
  <si>
    <t>First simple open box, made before the finger-joint version.</t>
  </si>
  <si>
    <t>-</t>
  </si>
  <si>
    <t>Laser cut</t>
  </si>
  <si>
    <t>Box &amp; playfield (wood)</t>
  </si>
  <si>
    <t>BoxProject.FCStd</t>
  </si>
  <si>
    <t>Box finger-joint test</t>
  </si>
  <si>
    <t>Bottom finger (Feb)</t>
  </si>
  <si>
    <t>Early test of a finger-joint bottom panel.</t>
  </si>
  <si>
    <t>bocx bottomfinger.FCStd
BottomBox Finger.svg</t>
  </si>
  <si>
    <t>Box (finger joints)</t>
  </si>
  <si>
    <t>boxProjectFinger</t>
  </si>
  <si>
    <t>Main wooden box with finger joints: back, bottom, front, left/right sides, long and short legs. 6 mm MDF, laser cut (report).
Preview tiles (top-left to bottom-right): SideFingerRightSketch007, BackSketch004, SideFingerLeft]Sketch001, BottomSketch</t>
  </si>
  <si>
    <t>- Has an Illustrator (.ai) file, i.e. prepared for the laser cutter</t>
  </si>
  <si>
    <t>boxProjectFinger.FCStd
boxProjectFinger-BackSketch004.svg
boxProjectFinger-BottomSketch.svg
boxProjectFinger-FrontFingerSketch002.svg
boxProjectFinger-LegLong3.ai
boxProjectFinger-LegShort3.ai
boxProjectFinger-SideFingerLeft]Pad008.svg
+ 2 more files</t>
  </si>
  <si>
    <t>Box side panel</t>
  </si>
  <si>
    <t>left side (SVG)</t>
  </si>
  <si>
    <t>Side panel outline. SVG only, no FreeCAD source found.</t>
  </si>
  <si>
    <t>left side.svg</t>
  </si>
  <si>
    <t>Dimensions image</t>
  </si>
  <si>
    <t>Reference picture with the side dimensions.</t>
  </si>
  <si>
    <t>Reference</t>
  </si>
  <si>
    <t>SideBoxDimensions.png</t>
  </si>
  <si>
    <t>Playfield plate</t>
  </si>
  <si>
    <t>middle part</t>
  </si>
  <si>
    <t>First outline of the playfield plate.</t>
  </si>
  <si>
    <t>middle part.FCStd
middle part-BodySketch.svg</t>
  </si>
  <si>
    <t>Sketch base Middle</t>
  </si>
  <si>
    <t>Second sketch of the playfield plate.</t>
  </si>
  <si>
    <t>Sketch base Middle.FCStd</t>
  </si>
  <si>
    <t>Sketch Middle New</t>
  </si>
  <si>
    <t>Third sketch of the playfield plate.</t>
  </si>
  <si>
    <t>Sketch Middle New.FCStd</t>
  </si>
  <si>
    <t>SketchMiddleNew</t>
  </si>
  <si>
    <t>Playfield layout with flippers, targets, walls and slide. Laser-engraved as an assembly guide (report).</t>
  </si>
  <si>
    <t>- Also copied into your 'Prototyping Pinball' folder
- Has an Illustrator (.ai) file, i.e. prepared for the laser cutter
- Most recently edited version of this component</t>
  </si>
  <si>
    <t>SketchMiddleNew.FCStd
SketchMiddleNew-Body.svg
SketchMiddleNew-BodyBottomCover.svg
SketchMiddleNew.ai
SketchMiddleNew.svg
Prototyping Pinball/ SketchMiddleNew.FCStd
Prototyping Pinball/ SketchMiddleNew-BodyBottomCover.svg
Prototyping Pinball/ SketchMiddleNew-BodyLoadShaftCover.svg</t>
  </si>
  <si>
    <t>Unnamed1 exports</t>
  </si>
  <si>
    <t>Exports of body sketch, bottom cover, load-shaft cover and a triangle target STL. The FreeCAD file was renamed, source not found.</t>
  </si>
  <si>
    <t>- Has an Illustrator (.ai) file, i.e. prepared for the laser cutter
- No FreeCAD source file in the folder</t>
  </si>
  <si>
    <t>Laser cut + 3D print</t>
  </si>
  <si>
    <t>Unnamed1-BodySketch.svg
Unnamed1-BottomCover.svg
Unnamed1-LoadShaftCover.ai
Unnamed1-LoadShaftCover.svg
Unnamed1-TrojuholnikHitTarget.stl</t>
  </si>
  <si>
    <t>Load-shaft cover</t>
  </si>
  <si>
    <t>CoverShaftLoad</t>
  </si>
  <si>
    <t>Cover over the ball-loading shaft.</t>
  </si>
  <si>
    <t>CoverShaftLoad.FCStd</t>
  </si>
  <si>
    <t>Curved wall (inner)</t>
  </si>
  <si>
    <t>innercurve</t>
  </si>
  <si>
    <t>Inner curved wall pieces (8 strips in the SVG).</t>
  </si>
  <si>
    <t>- In your 'LaserCutterPinball' folder (Illustrator files for the laser cutter)</t>
  </si>
  <si>
    <t>Walls &amp; lanes (wood)</t>
  </si>
  <si>
    <t>innercurve.svg
LaserCutterPinball/ innercurve.ai</t>
  </si>
  <si>
    <t>Curved wall (outer)</t>
  </si>
  <si>
    <t>outercurve</t>
  </si>
  <si>
    <t>Outer curved wall pieces.</t>
  </si>
  <si>
    <t>outercurve.svg
LaserCutterPinball/ outercurve.ai</t>
  </si>
  <si>
    <t>Loading wall</t>
  </si>
  <si>
    <t>WallLoading</t>
  </si>
  <si>
    <t>Wall along the ball-loading lane.</t>
  </si>
  <si>
    <t>WallLoading.svg
LaserCutterPinball/ WallLoading.ai</t>
  </si>
  <si>
    <t>Top triangle wall</t>
  </si>
  <si>
    <t>WallTopTriangle</t>
  </si>
  <si>
    <t>Wall piece at the top triangle of the playfield.</t>
  </si>
  <si>
    <t>WallTopTriangle.FCStd
WallTopTriangle-BodySketch.ai
WallTopTriangle-BodySketch.svg</t>
  </si>
  <si>
    <t>Left wall (arms)</t>
  </si>
  <si>
    <t>LeftWallArms</t>
  </si>
  <si>
    <t>Wooden wall next to the flipper arms.</t>
  </si>
  <si>
    <t>LeftWallArms.FCStd
LeftWallArms-BodySketch.svg</t>
  </si>
  <si>
    <t>Flipper side wood</t>
  </si>
  <si>
    <t>Left (LeftSideRucickyDrevo)</t>
  </si>
  <si>
    <t>Wood side piece for the left flipper ('drevo' = wood).</t>
  </si>
  <si>
    <t>LeftSideRucickyDrevo.FCStd
LeftSideRucickyDrevo-BodySketch.svg</t>
  </si>
  <si>
    <t>Right (RightSideRucickyDrevo)</t>
  </si>
  <si>
    <t>Wood side piece for the right flipper.</t>
  </si>
  <si>
    <t>RightSideRucickyDrevo.FCStd
RightSideRucickyDrevo-BodySketch.svg</t>
  </si>
  <si>
    <t>Wall left flipper</t>
  </si>
  <si>
    <t>WallLeftRucicky</t>
  </si>
  <si>
    <t>Wall outline near the left flipper. The STL is empty, only the SVG has data.</t>
  </si>
  <si>
    <t>- Empty STL (no geometry): WallLeftRucicky.stl
- No FreeCAD source file in the folder</t>
  </si>
  <si>
    <t>WallLeftRucicky.stl
WallLeftRucicky.svg</t>
  </si>
  <si>
    <t>Loading lane wood</t>
  </si>
  <si>
    <t>LoadingWood</t>
  </si>
  <si>
    <t>First wooden guide wall for the ball storage lane (report).</t>
  </si>
  <si>
    <t>LoadingWood.FCStd</t>
  </si>
  <si>
    <t>LoadingWoodLong</t>
  </si>
  <si>
    <t>Long guide wall of the ball lane.</t>
  </si>
  <si>
    <t>LoadingWoodLong.FCStd
LoadingWoodLong-BodySketch.svg</t>
  </si>
  <si>
    <t>LoadingWoodShort</t>
  </si>
  <si>
    <t>Short guide wall of the ball lane.</t>
  </si>
  <si>
    <t>LoadingWoodShort.FCStd
LoadingWoodShort-BodySketch.svg</t>
  </si>
  <si>
    <t>Ball chamber wood</t>
  </si>
  <si>
    <t>ChamberBottomShort</t>
  </si>
  <si>
    <t>Short bottom piece of the ball chamber.</t>
  </si>
  <si>
    <t>ChamberBottomShort.FCStd</t>
  </si>
  <si>
    <t>ChamberLongWood</t>
  </si>
  <si>
    <t>Long wooden piece of the ball chamber.</t>
  </si>
  <si>
    <t>ChamberLongWood.FCStd</t>
  </si>
  <si>
    <t>ChamberTopCurve</t>
  </si>
  <si>
    <t>Curved top piece of the ball chamber.</t>
  </si>
  <si>
    <t>ChamberTopCurve.FCStd</t>
  </si>
  <si>
    <t>Flipper lever</t>
  </si>
  <si>
    <t>RucickaBolt</t>
  </si>
  <si>
    <t>First flipper: nut-and-bolt pivot (report). Two shapes exported: Rucicka and RucickaNew.
Preview tiles (top-left to bottom-right): Rucicka, RucickaNew</t>
  </si>
  <si>
    <t>- Sliced for printing: RucickaNew 37m</t>
  </si>
  <si>
    <t>3D print</t>
  </si>
  <si>
    <t>Flippers &amp; drive</t>
  </si>
  <si>
    <t>RucickaBolt.FCStd
RucickaBolt-Rucicka.stl
RucickaBolt-RucickaNew.stl
RucickaBolt-RucickaNew.bgcode  [0.2 mm, 37m]</t>
  </si>
  <si>
    <t>RucickaNovaV3 (STL only)</t>
  </si>
  <si>
    <t>'Nova' = new flipper design. STL export only, no FreeCAD source.</t>
  </si>
  <si>
    <t>- No FreeCAD source file in the folder</t>
  </si>
  <si>
    <t>RucickaNovaV3.stl</t>
  </si>
  <si>
    <t>RucickaBoltV4</t>
  </si>
  <si>
    <t>Bolt-pivot flipper, 4th version.</t>
  </si>
  <si>
    <t>RucickaBoltV4.FCStd
RucickaBoltV4-Rucicka.stl</t>
  </si>
  <si>
    <t>RucickaNovaV4 (STL only)</t>
  </si>
  <si>
    <t>'Nova' flipper, 4th version. STL export only.</t>
  </si>
  <si>
    <t>RucickaNovaV4.stl</t>
  </si>
  <si>
    <t>RucickaNova</t>
  </si>
  <si>
    <t>Newest flipper file. Final flipper used a steel rod with a D-shaped end (report).</t>
  </si>
  <si>
    <t>- Most recently edited version of this component</t>
  </si>
  <si>
    <t>RucickaNova.FCStd
RucickaNova-Rucicka.stl</t>
  </si>
  <si>
    <t>Flipper drive adapter</t>
  </si>
  <si>
    <t>V1 (BottomArmAdapter)</t>
  </si>
  <si>
    <t>Adapter under the playfield linking the solenoid arm to the flipper rod (report).</t>
  </si>
  <si>
    <t>- Empty STL (no geometry): BottomArmAdapter-BodySketch009.stl</t>
  </si>
  <si>
    <t>BottomArmAdapter.FCStd
BottomArmAdapter-Body.stl
BottomArmAdapter-BodySketch009.stl</t>
  </si>
  <si>
    <t>V2</t>
  </si>
  <si>
    <t>Adapter under the playfield, 2nd version.</t>
  </si>
  <si>
    <t>BottomArmAdapterV2.FCStd
BottomArmAdapterV2-Body.stl</t>
  </si>
  <si>
    <t>V3</t>
  </si>
  <si>
    <t>Adapter under the playfield, 3rd version.</t>
  </si>
  <si>
    <t>BottomArmAdapterV3.FCStd
BottomArmAdapterV3-Body.stl</t>
  </si>
  <si>
    <t>V4</t>
  </si>
  <si>
    <t>Adapter under the playfield, 4th version (split into Adapter, Body and Connector).
Preview tiles (top-left to bottom-right): Adapter, Body, Connector</t>
  </si>
  <si>
    <t>BottomArmAdapterV4.FCStd
BottomArmAdapterV4-Adapter.stl
BottomArmAdapterV4-Body.stl
BottomArmAdapterV4-Connector.stl</t>
  </si>
  <si>
    <t>V5 (BottomAdapterV5)</t>
  </si>
  <si>
    <t>Adapter under the playfield, 5th version. No STL exported.</t>
  </si>
  <si>
    <t>BottomAdapterV5.FCStd</t>
  </si>
  <si>
    <t>Flipper solenoid assembly</t>
  </si>
  <si>
    <t>AdapterArmsV1</t>
  </si>
  <si>
    <t>Base + holder, arm, sleeve, circle and connector for the flipper mechanism.
Preview tiles (top-left to bottom-right): Base+Holder, Sleeve, Circle, Arm (+1 more part)</t>
  </si>
  <si>
    <t>- Sliced for printing: Base+Holder 28m
- Empty STL (no geometry): AdapterArmsV1-Base+HolderSketch.stl</t>
  </si>
  <si>
    <t>AdapterArmsV1.FCStd
AdapterArmsV1-Arm.stl
AdapterArmsV1-Base+Holder.stl
AdapterArmsV1-Base+Holder.svg
AdapterArmsV1-Base+HolderSketch.stl
AdapterArmsV1-Base+Holder.bgcode  [0.2 mm, 28m]
AdapterArmsV1-Circle.stl
+ 2 more files</t>
  </si>
  <si>
    <t>AdapterRucickyL</t>
  </si>
  <si>
    <t>Reworked copy of AdapterArmsV1 for the left flipper: same parts, but smaller in one direction (base 22 vs 27 mm, sleeve 25 vs 29 mm). This is the one in your MondayPrint batch.
Preview tiles (top-left to bottom-right): Base+Holder, Sleeve, Arm</t>
  </si>
  <si>
    <t>- Sliced for printing: Base+Holder 42m; Sleeve 37m
- In your 'MondayPrint' print batch</t>
  </si>
  <si>
    <t>AdapterRucickyL.FCStd
AdapterRucickyL-Arm.stl
AdapterRucickyL-Base+Holder.stl
AdapterRucickyL-Sleeve.stl
MondayPrint/ AdapterRucickyL-Base+Holder.bgcode  [0.2 mm, 42m]
MondayPrint/ AdapterRucickyL-Sleeve.bgcode  [0.2 mm, 37m]</t>
  </si>
  <si>
    <t>Solenoid adapter (mini)</t>
  </si>
  <si>
    <t>AdapterSolenoidMini</t>
  </si>
  <si>
    <t>Small adapter for a mini solenoid.</t>
  </si>
  <si>
    <t>AdapterSolenoidMini.FCStd
AdapterSolenoidMini-Body.stl</t>
  </si>
  <si>
    <t>Solenoid bracket (big)</t>
  </si>
  <si>
    <t>BracketSolenoidBig</t>
  </si>
  <si>
    <t>Bracket for the big solenoid.</t>
  </si>
  <si>
    <t>BracketSolenoidBig.FCStd
BracketSolenoidBig-Body.stl</t>
  </si>
  <si>
    <t>Arm-solenoid connector</t>
  </si>
  <si>
    <t>STL only</t>
  </si>
  <si>
    <t>Connector between the arm and the solenoid (8 x 28 x 2.5 mm). STL export only.</t>
  </si>
  <si>
    <t>ArmSolenoidConnector.stl</t>
  </si>
  <si>
    <t>Hit target (top)</t>
  </si>
  <si>
    <t>V1</t>
  </si>
  <si>
    <t>Target with a movable piece and metal contacts behind it; closing the contacts scores points (report).</t>
  </si>
  <si>
    <t>Targets</t>
  </si>
  <si>
    <t>HitTargetTopV1.FCStd</t>
  </si>
  <si>
    <t>Top target, 2nd version.</t>
  </si>
  <si>
    <t>HitTargetTopV2.FCStd</t>
  </si>
  <si>
    <t>Top target, 3rd version (inside and outside target pieces).
Preview tiles (top-left to bottom-right): InsideTopTarget, OutsideTopTarget</t>
  </si>
  <si>
    <t>HitTargetTopV3.FCStd
HitTargetTopV3-InsideTopTarget.stl
HitTargetTopV3-OutsideTopTarget.stl</t>
  </si>
  <si>
    <t>Top target, 4th version: adapter holder, inside/outside target and triangle hit target.
Preview tiles (top-left to bottom-right): TrojuholnikHitTarget, AdapterHolder, InsideTopTarget, OutsideTopTarget</t>
  </si>
  <si>
    <t>- Sliced for printing: TrojuholnikHitTarget 1h22m
- Most recently edited version of this component</t>
  </si>
  <si>
    <t>HitTargetTopV4.FCStd
HitTargetTopV4-AdapterHolder.stl
HitTargetTopV4-InsideTopTarget.stl
HitTargetTopV4-OutsideTopTarget.stl
HitTargetTopV4-TrojuholnikHitTarget.stl
HitTargetTopV4-TrojuholnikHitTarget.bgcode  [0.2 mm, 1h22m]</t>
  </si>
  <si>
    <t>V5</t>
  </si>
  <si>
    <t>Top target, 5th version. No STL exported.</t>
  </si>
  <si>
    <t>HitTargetTopV5.FCStd</t>
  </si>
  <si>
    <t>Hit target (mid)</t>
  </si>
  <si>
    <t>Middle target with adapter and triangle.
Preview tiles (top-left to bottom-right): Triang;e, Adapter</t>
  </si>
  <si>
    <t>HitTargetMidV1.FCStd
HitTargetMidV1-Adapter.stl
HitTargetMidV1-Adapter.svg
HitTargetMidV1-Triang;e.stl</t>
  </si>
  <si>
    <t>Middle target, 2nd version, with stopper and triangle.
Preview tiles (top-left to bottom-right): Triang;e, Stopper</t>
  </si>
  <si>
    <t>- Sliced for printing: Stopper 14m; Triang;e 1h55m
- In your 'MondayPrint' print batch</t>
  </si>
  <si>
    <t>HitTargetMidV2.FCStd
HitTargetMidV2-Stopper.stl
HitTargetMidV2-Triang;e.stl
HitTargetMidV2-Triang;e.bgcode  [0.2 mm, 1h55m]
MondayPrint/ HitTargetMidV2-Stopper.bgcode  [0.2 mm, 14m]</t>
  </si>
  <si>
    <t>Hit target (corner)</t>
  </si>
  <si>
    <t>Corner target: holder, inside/outside target and triangle.
Preview tiles (top-left to bottom-right): Troujuholnik, Holder, InsideTopTarget, OutsideTopTarget</t>
  </si>
  <si>
    <t>- Sliced for printing: Holder 23m
- In your 'MondayPrint' print batch</t>
  </si>
  <si>
    <t>HitTargetCornerV1.FCStd
HitTargetCornerV1-Holder.stl
HitTargetCornerV1-InsideTopTarget.stl
HitTargetCornerV1-OutsideTopTarget.stl
HitTargetCornerV1-Troujuholnik.stl
MondayPrint/ HitTargetCornerV1-Holder.bgcode  [0.2 mm, 23m]</t>
  </si>
  <si>
    <t>Hit target (slide)</t>
  </si>
  <si>
    <t>Target at the slide: holder, target, target insert and angle piece ('uholnik').
Preview tiles (top-left to bottom-right): Holder, Uholnik, Target, TargetInsert</t>
  </si>
  <si>
    <t>- Sliced for printing: Holder 27m
- In your 'MondayPrint' print batch</t>
  </si>
  <si>
    <t>HitTargetSlide.FCStd
HitTargetSlide-Holder.stl
HitTargetSlide-Target.stl
HitTargetSlide-TargetInsert.stl
HitTargetSlide-Uholnik.stl
MondayPrint/ HitTargetSlide-Holder.bgcode  [0.2 mm, 27m]</t>
  </si>
  <si>
    <t>Drop target</t>
  </si>
  <si>
    <t>Drop target mounted through the playfield.</t>
  </si>
  <si>
    <t>DropTarget.FCStd</t>
  </si>
  <si>
    <t>Drop target, 2nd version.</t>
  </si>
  <si>
    <t>DropTargetV2.FCStd</t>
  </si>
  <si>
    <t>Loading system diagram</t>
  </si>
  <si>
    <t>LoadingAll.png</t>
  </si>
  <si>
    <t>Your overview picture: loading ramp, hook, solenoid, microswitch, ramp holder, manual plunger.</t>
  </si>
  <si>
    <t>- Also in your 'Prototyping Pinball/Loading' folder</t>
  </si>
  <si>
    <t>Ball loading</t>
  </si>
  <si>
    <t>Loading/ LoadingAll.png</t>
  </si>
  <si>
    <t>Loading (early parts)</t>
  </si>
  <si>
    <t>LoadingBottomLeg</t>
  </si>
  <si>
    <t>Early loading system part, 11 Apr.</t>
  </si>
  <si>
    <t>LoadingBottomLeg.FCStd</t>
  </si>
  <si>
    <t>LoadingTopLeg</t>
  </si>
  <si>
    <t>LoadingTopLeg.FCStd</t>
  </si>
  <si>
    <t>LoadingLock</t>
  </si>
  <si>
    <t>Early loading lock, 12 Apr.</t>
  </si>
  <si>
    <t>LoadingLock.FCStd</t>
  </si>
  <si>
    <t>Loading hook</t>
  </si>
  <si>
    <t>HookKetchV1</t>
  </si>
  <si>
    <t>First hook that stops the balls ('ketch' = catch).</t>
  </si>
  <si>
    <t>HookKetchV1.FCStd
HookKetchV1-HookKetch.stl</t>
  </si>
  <si>
    <t>HookKetchV2 (STL only)</t>
  </si>
  <si>
    <t>Hook, 2nd version. STL export only.</t>
  </si>
  <si>
    <t>HookKetchV2-HookKetch.stl</t>
  </si>
  <si>
    <t>HookLoadingV1</t>
  </si>
  <si>
    <t>Hook for the loading system, 3 May.</t>
  </si>
  <si>
    <t>HookLoadingV1.FCStd</t>
  </si>
  <si>
    <t>HookV3</t>
  </si>
  <si>
    <t>Curved hook driven by a solenoid; releases one ball at a time (report).</t>
  </si>
  <si>
    <t>- Also in your 'Prototyping Pinball/Loading' folder
- Most recently edited version of this component</t>
  </si>
  <si>
    <t>HookV3.FCStd
HookV3-Body.stl
Loading/ HookV3.FCStd</t>
  </si>
  <si>
    <t>Ball shoot platform</t>
  </si>
  <si>
    <t>BallLoadingShootPlatform</t>
  </si>
  <si>
    <t>Platform where the ball is loaded and shot out.</t>
  </si>
  <si>
    <t>- Sliced for printing: Body 10m; Body 13m
- Also in your 'Prototyping Pinball/Loading' folder
- Has a PrusaSlicer 3MF project</t>
  </si>
  <si>
    <t>BallLoadingShootPlatform.FCStd
BallLoadingShootPlatform-Body.3mf
BallLoadingShootPlatform-Body.stl
BallLoadingShootPlatform-Body.bgcode  [0.2 mm, 10m]
BallLoadingShootPlatform-Body.bgcode  [0.2 mm, 13m]
Loading/ BallLoadingShootPlatform.FCStd</t>
  </si>
  <si>
    <t>RFID holder</t>
  </si>
  <si>
    <t>RFIDHolder</t>
  </si>
  <si>
    <t>Holder for the RFID reader that starts a game and resets the score (report).</t>
  </si>
  <si>
    <t>- Sliced for printing: Body 30m</t>
  </si>
  <si>
    <t>RFIDHolder.FCStd
RFIDHolder-Body.stl
RFIDHolder-Body.bgcode  [0.2 mm, 30m]</t>
  </si>
  <si>
    <t>Slide</t>
  </si>
  <si>
    <t>SlideV1</t>
  </si>
  <si>
    <t>Ball slide, printed in two halves and glued (report): Body, Left, Right.
Preview tiles (top-left to bottom-right): Right, Left, Body</t>
  </si>
  <si>
    <t>Slide, barrier &amp; small parts</t>
  </si>
  <si>
    <t>SlideV1.FCStd
SlideV1-Body.stl
SlideV1-Left.stl
SlideV1-Right.stl</t>
  </si>
  <si>
    <t>Barrier ('Zabrana')</t>
  </si>
  <si>
    <t>ZabranaV1</t>
  </si>
  <si>
    <t>Cylindrical barrier with mounting hole that guides the ball (report).</t>
  </si>
  <si>
    <t>- Sliced for printing: Body 2h0m
- In your 'MondayPrint' print batch</t>
  </si>
  <si>
    <t>ZabranaV1.FCStd
ZabranaV1-Body.stl
MondayPrint/ ZabranaV1-Body.bgcode  [0.2 mm, 2h0m]</t>
  </si>
  <si>
    <t>Limiter ('Obmedzovac')</t>
  </si>
  <si>
    <t>Obmedzovac</t>
  </si>
  <si>
    <t>Small cylinder, 'obmedzovac' = limiter/stopper. addaadad.stl (a 20 x 20 x 35 mm cylinder) is probably its export.</t>
  </si>
  <si>
    <t>Obmedzovac.FCStd
addaadad.stl</t>
  </si>
  <si>
    <t>Washer ('Podlozka')</t>
  </si>
  <si>
    <t>Podlozka</t>
  </si>
  <si>
    <t>Washer/spacer (38 mm across, 5 mm thick). Washer.stl is its export.</t>
  </si>
  <si>
    <t>Podlozka.FCStd
Washer.stl</t>
  </si>
  <si>
    <t>L bracket (large)</t>
  </si>
  <si>
    <t>Corner bracket that holds the wooden box together (report).</t>
  </si>
  <si>
    <t>- Sliced for printing: Body 1h18m; Body 1h31m
- In your 'MondayPrint' print batch</t>
  </si>
  <si>
    <t>Brackets</t>
  </si>
  <si>
    <t>LBracketsV1.FCStd
LBracketsV1-Body.stl
LBracketsV1-Body.bgcode  [0.2 mm, 1h31m]
MondayPrint/ LBracketsV1-Body.bgcode  [0.2 mm, 1h18m]</t>
  </si>
  <si>
    <t>L bracket (small)</t>
  </si>
  <si>
    <t>Second, smaller bracket design (report mentions two).</t>
  </si>
  <si>
    <t>- Sliced for printing: Body 39m
- In your 'MondayPrint' print batch
- Has a PrusaSlicer 3MF project</t>
  </si>
  <si>
    <t>LbracketSmallV1.FCStd
LbracketSmallV1-Body.3mf
LbracketSmallV1-Body.stl
MondayPrint/ LbracketSmallV1-Body.bgcode  [0.2 mm, 39m]</t>
  </si>
  <si>
    <t>Servo adapter</t>
  </si>
  <si>
    <t>DervoV1</t>
  </si>
  <si>
    <t>Servo motor holder ('Dervo' is probably 'Servo'). Pinball uses solenoids, so maybe an early idea or a launcher leftover.</t>
  </si>
  <si>
    <t>3D print?</t>
  </si>
  <si>
    <t>Unclear - please check</t>
  </si>
  <si>
    <t>DervoV1.FCStd</t>
  </si>
  <si>
    <t>ServoAdapterV2</t>
  </si>
  <si>
    <t>Servo motor adapter, 2nd version. Same question as above.</t>
  </si>
  <si>
    <t>ServoAdapterV2.FCStd</t>
  </si>
  <si>
    <t>Launcher adapter (maybe)</t>
  </si>
  <si>
    <t>ADAPTER2 (sliced 28 Apr)</t>
  </si>
  <si>
    <t>Two print files sliced 28 Apr. ADAPTER2 also exists in the launcher folder, so it may not be pinball.</t>
  </si>
  <si>
    <t>- Sliced for printing: Body 51m; Body 1h1m</t>
  </si>
  <si>
    <t>ADAPTER2-Body.bgcode  [0.25 mm, 51m]
ADAPTER2-Body.bgcode  [0.2 mm, 1h1m]</t>
  </si>
  <si>
    <t>Scratch / test file</t>
  </si>
  <si>
    <t>df</t>
  </si>
  <si>
    <t>Unnamed small U-shaped clip (19 May).</t>
  </si>
  <si>
    <t>?</t>
  </si>
  <si>
    <t>df.FCStd</t>
  </si>
  <si>
    <t>sfdf</t>
  </si>
  <si>
    <t>Unnamed sketch of playfield walls (19 May).</t>
  </si>
  <si>
    <t>sfdf.FCStd</t>
  </si>
  <si>
    <t>Test</t>
  </si>
  <si>
    <t>Small flat clip (2 May).</t>
  </si>
  <si>
    <t>Test.FCStd</t>
  </si>
  <si>
    <t>Test21</t>
  </si>
  <si>
    <t>Angled bracket with two holes (2 May).</t>
  </si>
  <si>
    <t>Test21.FCStd</t>
  </si>
  <si>
    <t>Test30hole (STL)</t>
  </si>
  <si>
    <t>STL only, 7 May. Maybe a hole-size test print.</t>
  </si>
  <si>
    <t>Test30hole.stl</t>
  </si>
  <si>
    <t>Drawing2</t>
  </si>
  <si>
    <t>Outline sketch of an adapter (5 Jun).</t>
  </si>
  <si>
    <t>Drawing2.FCStd</t>
  </si>
  <si>
    <t>Unnamed2 (Feb)</t>
  </si>
  <si>
    <t>Dimension sketch 500 x 125 mm from 28 Feb; a tiny STL was exported from it on 19 May.</t>
  </si>
  <si>
    <t>Unnamed2.FCStd
Unnamed2-Body.stl</t>
  </si>
  <si>
    <t>Unnamed3 (SVG, Feb)</t>
  </si>
  <si>
    <t>Rectangle outline SVG from 28 Feb.</t>
  </si>
  <si>
    <t>Laser cut?</t>
  </si>
  <si>
    <t>Unnamed3-Body.svg</t>
  </si>
  <si>
    <t>Pinball parts - summary (updates by itself as you click on the Parts tab)</t>
  </si>
  <si>
    <t>Total part versions</t>
  </si>
  <si>
    <t>Marked Used</t>
  </si>
  <si>
    <t>Marked Not used</t>
  </si>
  <si>
    <t>Not decided yet</t>
  </si>
  <si>
    <t>Progress (decided / total)</t>
  </si>
  <si>
    <t>Versions</t>
  </si>
  <si>
    <t>Used</t>
  </si>
  <si>
    <t>Not used</t>
  </si>
  <si>
    <t>Not decided</t>
  </si>
  <si>
    <t>Total</t>
  </si>
  <si>
    <t>Files I left out of the pinball list - tell me if I got one wrong</t>
  </si>
  <si>
    <t>File / folder</t>
  </si>
  <si>
    <t>What it is</t>
  </si>
  <si>
    <t>Why I left it out</t>
  </si>
  <si>
    <t>It IS pinball?</t>
  </si>
  <si>
    <t>fablab.ino</t>
  </si>
  <si>
    <t>Arduino dice thrower with an LCD (Nov 2025)</t>
  </si>
  <si>
    <t>Small class exercise, no relation to the pinball.</t>
  </si>
  <si>
    <t>bench01.FCStd + bench01-Pad004_tab.dxf</t>
  </si>
  <si>
    <t>Bench model + DXF (Feb 2026)</t>
  </si>
  <si>
    <t>FreeCAD tutorial-style project from before the pinball started.</t>
  </si>
  <si>
    <t>basePartTurotial.FCStd</t>
  </si>
  <si>
    <t>Bracket from a tutorial (27 Feb)</t>
  </si>
  <si>
    <t>Tutorial file ('Turotial').</t>
  </si>
  <si>
    <t>RandomTurorial1.FCStd</t>
  </si>
  <si>
    <t>Cylinder on a base plate (1 May)</t>
  </si>
  <si>
    <t>Tutorial file.</t>
  </si>
  <si>
    <t>PracticePart10.FCStd</t>
  </si>
  <si>
    <t>Practice part (5 Jun)</t>
  </si>
  <si>
    <t>Practice part, dated after the machine was built.</t>
  </si>
  <si>
    <t>PracticePart11.FCStd</t>
  </si>
  <si>
    <t>adadad.FCStd</t>
  </si>
  <si>
    <t>Small wedge (27 Feb)</t>
  </si>
  <si>
    <t>Same day as the tutorial file, looks like a keyboard-mash test.</t>
  </si>
  <si>
    <t>FabLAB All canon/ (folder)</t>
  </si>
  <si>
    <t>Ping pong launcher files (Dec 2025 - Jan 2026)</t>
  </si>
  <si>
    <t>The launcher project you decided to leave out of the portfolio.</t>
  </si>
  <si>
    <t>Fusion challange/ (folder)</t>
  </si>
  <si>
    <t>Lost &amp; Found locker + Mental Hospital Museum</t>
  </si>
  <si>
    <t>Different projects.</t>
  </si>
  <si>
    <t>INenOUT/ (folder)</t>
  </si>
  <si>
    <t>Arduino class material and exercises</t>
  </si>
  <si>
    <t>Different course material.</t>
  </si>
  <si>
    <t>Prototyping/ (folder)</t>
  </si>
  <si>
    <t>Paper cube lamp, Billboard scene, old course portfolio</t>
  </si>
  <si>
    <t>How to use this workbook</t>
  </si>
  <si>
    <t>What to edit</t>
  </si>
  <si>
    <t>Only the yellow cells: column C on the Parts tab (Used / Not used), your notes in column I, and column D on the Not pinball tab. Everything else is filled in for you.</t>
  </si>
  <si>
    <t>Example</t>
  </si>
  <si>
    <t>Component 'Hit target (top)': click 'Used' on V4 and 'Not used' on V1, V2, V3 and V5. The row turns green or grey and the Summary tab updates.</t>
  </si>
  <si>
    <t>Blank cells</t>
  </si>
  <si>
    <t>A blank means 'not decided yet'. The Summary tab shows how many are still open.</t>
  </si>
  <si>
    <t>Filter, don't sort</t>
  </si>
  <si>
    <t>Use the arrows in the header row (for example column C = Used). Sorting would separate the rows from their pictures.</t>
  </si>
  <si>
    <t>Previews</t>
  </si>
  <si>
    <t>Left: the picture FreeCAD saved in the file (sometimes cropped or empty). Right: my render of the exported STL parts (up to 4 tiles, largest part first; names are listed in the description) or of the laser-cut SVG outline.</t>
  </si>
  <si>
    <t>Hints column</t>
  </si>
  <si>
    <t>'Sliced for printing' = a .bgcode file exists (a print file for the Prusa MK4S). 'MondayPrint' = the file sits in your Prototyping Pinball/MondayPrint folder. 'Also copied into Prototyping Pinball' = you copied it into that folder, which looks like a final set. 'Most recently edited' = the newest save among that component's versions. These are clues, not proof.</t>
  </si>
  <si>
    <t>What is my guess</t>
  </si>
  <si>
    <t>The descriptions come from file names, the previews, your Prototyping report and your LoadingAll.png diagram. Slovak words I decoded: Rucicka = flipper lever, Drevo = wood, Zabrana = barrier, Obmedzovac = limiter, Podlozka = washer, Trojuholnik = triangle, Uholnik = angle piece. Correct anything wrong in the notes column.</t>
  </si>
  <si>
    <t>Scope</t>
  </si>
  <si>
    <t>Built from C:\Users\jakub\Desktop\KdG\fablab (root files and the Prototyping Pinball folder). FreeCAD autosave backups (.FCBak) are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</si>
</sst>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Calibri"/>
      <family val="2"/>
      <scheme val="minor"/>
    </font>
    <font>
      <b/>
      <sz val="14"/>
      <color rgb="FF1F2A44"/>
      <name val="Arial"/>
    </font>
    <font>
      <sz val="10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8"/>
      <color rgb="FF404040"/>
      <name val="Arial"/>
    </font>
    <font>
      <sz val="9"/>
      <name val="Arial"/>
    </font>
    <font>
      <b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2A8"/>
      </patternFill>
    </fill>
    <fill>
      <patternFill patternType="solid">
        <fgColor rgb="FFEEF2F8"/>
      </patternFill>
    </fill>
  </fills>
  <borders count="3">
    <border>
      <left/>
      <right/>
      <top/>
      <bottom/>
      <diagonal/>
    </border>
    <border>
      <left style="thin">
        <color rgb="FFC8CDD6"/>
      </left>
      <right style="thin">
        <color rgb="FFC8CDD6"/>
      </right>
      <top style="thin">
        <color rgb="FFC8CDD6"/>
      </top>
      <bottom style="thin">
        <color rgb="FFC8CDD6"/>
      </bottom>
      <diagonal/>
    </border>
    <border>
      <left/>
      <right/>
      <top style="medium">
        <color rgb="FF1F2A4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0" fontId="5" fillId="0" borderId="0" xfId="0" applyFont="1"/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fgColor rgb="FFFFE9B3"/>
        </patternFill>
      </fill>
    </dxf>
    <dxf>
      <font>
        <color rgb="FF7A7A7A"/>
        <name val="Arial"/>
      </font>
      <fill>
        <patternFill patternType="solid">
          <fgColor rgb="FFE3E3E3"/>
        </patternFill>
      </fill>
    </dxf>
    <dxf>
      <font>
        <color rgb="FF0B5D1E"/>
        <name val="Arial"/>
      </font>
      <fill>
        <patternFill patternType="solid">
          <fgColor rgb="FFC6EFCE"/>
        </patternFill>
      </fill>
    </dxf>
    <dxf>
      <font>
        <color rgb="FF7A7A7A"/>
        <name val="Arial"/>
      </font>
      <fill>
        <patternFill patternType="solid">
          <fgColor rgb="FFE3E3E3"/>
        </patternFill>
      </fill>
    </dxf>
    <dxf>
      <font>
        <color rgb="FF0B5D1E"/>
        <name val="Arial"/>
      </font>
      <fill>
        <patternFill patternType="solid">
          <fgColor rgb="FFC6EFCE"/>
        </patternFill>
      </fill>
    </dxf>
    <dxf>
      <font>
        <color rgb="FF7A7A7A"/>
        <name val="Arial"/>
      </font>
      <fill>
        <patternFill patternType="solid">
          <fgColor rgb="FFE3E3E3"/>
        </patternFill>
      </fill>
    </dxf>
    <dxf>
      <font>
        <color rgb="FF0B5D1E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4</xdr:row>
      <xdr:rowOff>28575</xdr:rowOff>
    </xdr:from>
    <xdr:to>
      <xdr:col>4</xdr:col>
      <xdr:colOff>0</xdr:colOff>
      <xdr:row>5</xdr:row>
      <xdr:rowOff>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5</xdr:row>
      <xdr:rowOff>28575</xdr:rowOff>
    </xdr:from>
    <xdr:to>
      <xdr:col>4</xdr:col>
      <xdr:colOff>0</xdr:colOff>
      <xdr:row>6</xdr:row>
      <xdr:rowOff>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</xdr:row>
      <xdr:rowOff>28575</xdr:rowOff>
    </xdr:from>
    <xdr:to>
      <xdr:col>5</xdr:col>
      <xdr:colOff>0</xdr:colOff>
      <xdr:row>6</xdr:row>
      <xdr:rowOff>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6</xdr:row>
      <xdr:rowOff>28575</xdr:rowOff>
    </xdr:from>
    <xdr:to>
      <xdr:col>4</xdr:col>
      <xdr:colOff>0</xdr:colOff>
      <xdr:row>7</xdr:row>
      <xdr:rowOff>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</xdr:row>
      <xdr:rowOff>28575</xdr:rowOff>
    </xdr:from>
    <xdr:to>
      <xdr:col>5</xdr:col>
      <xdr:colOff>0</xdr:colOff>
      <xdr:row>7</xdr:row>
      <xdr:rowOff>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7</xdr:row>
      <xdr:rowOff>28575</xdr:rowOff>
    </xdr:from>
    <xdr:to>
      <xdr:col>5</xdr:col>
      <xdr:colOff>0</xdr:colOff>
      <xdr:row>8</xdr:row>
      <xdr:rowOff>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8</xdr:row>
      <xdr:rowOff>28575</xdr:rowOff>
    </xdr:from>
    <xdr:to>
      <xdr:col>5</xdr:col>
      <xdr:colOff>0</xdr:colOff>
      <xdr:row>9</xdr:row>
      <xdr:rowOff>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9</xdr:row>
      <xdr:rowOff>28575</xdr:rowOff>
    </xdr:from>
    <xdr:to>
      <xdr:col>4</xdr:col>
      <xdr:colOff>0</xdr:colOff>
      <xdr:row>10</xdr:row>
      <xdr:rowOff>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9</xdr:row>
      <xdr:rowOff>28575</xdr:rowOff>
    </xdr:from>
    <xdr:to>
      <xdr:col>5</xdr:col>
      <xdr:colOff>0</xdr:colOff>
      <xdr:row>10</xdr:row>
      <xdr:rowOff>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10</xdr:row>
      <xdr:rowOff>28575</xdr:rowOff>
    </xdr:from>
    <xdr:to>
      <xdr:col>4</xdr:col>
      <xdr:colOff>0</xdr:colOff>
      <xdr:row>11</xdr:row>
      <xdr:rowOff>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11</xdr:row>
      <xdr:rowOff>28575</xdr:rowOff>
    </xdr:from>
    <xdr:to>
      <xdr:col>4</xdr:col>
      <xdr:colOff>0</xdr:colOff>
      <xdr:row>12</xdr:row>
      <xdr:rowOff>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12</xdr:row>
      <xdr:rowOff>28575</xdr:rowOff>
    </xdr:from>
    <xdr:to>
      <xdr:col>4</xdr:col>
      <xdr:colOff>0</xdr:colOff>
      <xdr:row>13</xdr:row>
      <xdr:rowOff>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12</xdr:row>
      <xdr:rowOff>28575</xdr:rowOff>
    </xdr:from>
    <xdr:to>
      <xdr:col>5</xdr:col>
      <xdr:colOff>0</xdr:colOff>
      <xdr:row>13</xdr:row>
      <xdr:rowOff>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13</xdr:row>
      <xdr:rowOff>28575</xdr:rowOff>
    </xdr:from>
    <xdr:to>
      <xdr:col>5</xdr:col>
      <xdr:colOff>0</xdr:colOff>
      <xdr:row>14</xdr:row>
      <xdr:rowOff>0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14</xdr:row>
      <xdr:rowOff>28575</xdr:rowOff>
    </xdr:from>
    <xdr:to>
      <xdr:col>4</xdr:col>
      <xdr:colOff>0</xdr:colOff>
      <xdr:row>15</xdr:row>
      <xdr:rowOff>0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15</xdr:row>
      <xdr:rowOff>28575</xdr:rowOff>
    </xdr:from>
    <xdr:to>
      <xdr:col>5</xdr:col>
      <xdr:colOff>0</xdr:colOff>
      <xdr:row>16</xdr:row>
      <xdr:rowOff>0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16</xdr:row>
      <xdr:rowOff>28575</xdr:rowOff>
    </xdr:from>
    <xdr:to>
      <xdr:col>5</xdr:col>
      <xdr:colOff>0</xdr:colOff>
      <xdr:row>17</xdr:row>
      <xdr:rowOff>0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</xdr:row>
      <xdr:rowOff>28575</xdr:rowOff>
    </xdr:from>
    <xdr:to>
      <xdr:col>5</xdr:col>
      <xdr:colOff>0</xdr:colOff>
      <xdr:row>18</xdr:row>
      <xdr:rowOff>0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18</xdr:row>
      <xdr:rowOff>28575</xdr:rowOff>
    </xdr:from>
    <xdr:to>
      <xdr:col>4</xdr:col>
      <xdr:colOff>0</xdr:colOff>
      <xdr:row>19</xdr:row>
      <xdr:rowOff>0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</xdr:row>
      <xdr:rowOff>28575</xdr:rowOff>
    </xdr:from>
    <xdr:to>
      <xdr:col>5</xdr:col>
      <xdr:colOff>0</xdr:colOff>
      <xdr:row>19</xdr:row>
      <xdr:rowOff>0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19</xdr:row>
      <xdr:rowOff>17690</xdr:rowOff>
    </xdr:from>
    <xdr:to>
      <xdr:col>4</xdr:col>
      <xdr:colOff>0</xdr:colOff>
      <xdr:row>19</xdr:row>
      <xdr:rowOff>1230086</xdr:rowOff>
    </xdr:to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491718" y="19644633"/>
          <a:ext cx="1854653" cy="1212396"/>
        </a:xfrm>
        <a:prstGeom prst="rect">
          <a:avLst/>
        </a:prstGeom>
      </xdr:spPr>
    </xdr:pic>
    <xdr:clientData/>
  </xdr:twoCellAnchor>
  <xdr:twoCellAnchor>
    <xdr:from>
      <xdr:col>4</xdr:col>
      <xdr:colOff>28575</xdr:colOff>
      <xdr:row>19</xdr:row>
      <xdr:rowOff>28575</xdr:rowOff>
    </xdr:from>
    <xdr:to>
      <xdr:col>5</xdr:col>
      <xdr:colOff>0</xdr:colOff>
      <xdr:row>20</xdr:row>
      <xdr:rowOff>0</xdr:rowOff>
    </xdr:to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20</xdr:row>
      <xdr:rowOff>28575</xdr:rowOff>
    </xdr:from>
    <xdr:to>
      <xdr:col>4</xdr:col>
      <xdr:colOff>0</xdr:colOff>
      <xdr:row>21</xdr:row>
      <xdr:rowOff>0</xdr:rowOff>
    </xdr:to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20</xdr:row>
      <xdr:rowOff>28575</xdr:rowOff>
    </xdr:from>
    <xdr:to>
      <xdr:col>5</xdr:col>
      <xdr:colOff>0</xdr:colOff>
      <xdr:row>21</xdr:row>
      <xdr:rowOff>0</xdr:rowOff>
    </xdr:to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21</xdr:row>
      <xdr:rowOff>28575</xdr:rowOff>
    </xdr:from>
    <xdr:to>
      <xdr:col>4</xdr:col>
      <xdr:colOff>0</xdr:colOff>
      <xdr:row>22</xdr:row>
      <xdr:rowOff>0</xdr:rowOff>
    </xdr:to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21</xdr:row>
      <xdr:rowOff>28575</xdr:rowOff>
    </xdr:from>
    <xdr:to>
      <xdr:col>5</xdr:col>
      <xdr:colOff>0</xdr:colOff>
      <xdr:row>22</xdr:row>
      <xdr:rowOff>0</xdr:rowOff>
    </xdr:to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</xdr:row>
      <xdr:rowOff>28575</xdr:rowOff>
    </xdr:from>
    <xdr:to>
      <xdr:col>5</xdr:col>
      <xdr:colOff>0</xdr:colOff>
      <xdr:row>23</xdr:row>
      <xdr:rowOff>0</xdr:rowOff>
    </xdr:to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23</xdr:row>
      <xdr:rowOff>28575</xdr:rowOff>
    </xdr:from>
    <xdr:to>
      <xdr:col>4</xdr:col>
      <xdr:colOff>0</xdr:colOff>
      <xdr:row>24</xdr:row>
      <xdr:rowOff>0</xdr:rowOff>
    </xdr:to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24</xdr:row>
      <xdr:rowOff>28575</xdr:rowOff>
    </xdr:from>
    <xdr:to>
      <xdr:col>4</xdr:col>
      <xdr:colOff>0</xdr:colOff>
      <xdr:row>25</xdr:row>
      <xdr:rowOff>0</xdr:rowOff>
    </xdr:to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24</xdr:row>
      <xdr:rowOff>28575</xdr:rowOff>
    </xdr:from>
    <xdr:to>
      <xdr:col>5</xdr:col>
      <xdr:colOff>0</xdr:colOff>
      <xdr:row>25</xdr:row>
      <xdr:rowOff>0</xdr:rowOff>
    </xdr:to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25</xdr:row>
      <xdr:rowOff>28575</xdr:rowOff>
    </xdr:from>
    <xdr:to>
      <xdr:col>4</xdr:col>
      <xdr:colOff>0</xdr:colOff>
      <xdr:row>26</xdr:row>
      <xdr:rowOff>0</xdr:rowOff>
    </xdr:to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</xdr:row>
      <xdr:rowOff>28575</xdr:rowOff>
    </xdr:from>
    <xdr:to>
      <xdr:col>5</xdr:col>
      <xdr:colOff>0</xdr:colOff>
      <xdr:row>26</xdr:row>
      <xdr:rowOff>0</xdr:rowOff>
    </xdr:to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26</xdr:row>
      <xdr:rowOff>28575</xdr:rowOff>
    </xdr:from>
    <xdr:to>
      <xdr:col>4</xdr:col>
      <xdr:colOff>0</xdr:colOff>
      <xdr:row>27</xdr:row>
      <xdr:rowOff>0</xdr:rowOff>
    </xdr:to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27</xdr:row>
      <xdr:rowOff>28575</xdr:rowOff>
    </xdr:from>
    <xdr:to>
      <xdr:col>4</xdr:col>
      <xdr:colOff>0</xdr:colOff>
      <xdr:row>28</xdr:row>
      <xdr:rowOff>0</xdr:rowOff>
    </xdr:to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28</xdr:row>
      <xdr:rowOff>28575</xdr:rowOff>
    </xdr:from>
    <xdr:to>
      <xdr:col>4</xdr:col>
      <xdr:colOff>0</xdr:colOff>
      <xdr:row>29</xdr:row>
      <xdr:rowOff>0</xdr:rowOff>
    </xdr:to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29</xdr:row>
      <xdr:rowOff>28575</xdr:rowOff>
    </xdr:from>
    <xdr:to>
      <xdr:col>4</xdr:col>
      <xdr:colOff>0</xdr:colOff>
      <xdr:row>30</xdr:row>
      <xdr:rowOff>0</xdr:rowOff>
    </xdr:to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29</xdr:row>
      <xdr:rowOff>28575</xdr:rowOff>
    </xdr:from>
    <xdr:to>
      <xdr:col>5</xdr:col>
      <xdr:colOff>0</xdr:colOff>
      <xdr:row>30</xdr:row>
      <xdr:rowOff>0</xdr:rowOff>
    </xdr:to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30</xdr:row>
      <xdr:rowOff>28575</xdr:rowOff>
    </xdr:from>
    <xdr:to>
      <xdr:col>5</xdr:col>
      <xdr:colOff>0</xdr:colOff>
      <xdr:row>31</xdr:row>
      <xdr:rowOff>0</xdr:rowOff>
    </xdr:to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31</xdr:row>
      <xdr:rowOff>28575</xdr:rowOff>
    </xdr:from>
    <xdr:to>
      <xdr:col>4</xdr:col>
      <xdr:colOff>0</xdr:colOff>
      <xdr:row>32</xdr:row>
      <xdr:rowOff>0</xdr:rowOff>
    </xdr:to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</xdr:row>
      <xdr:rowOff>28575</xdr:rowOff>
    </xdr:from>
    <xdr:to>
      <xdr:col>5</xdr:col>
      <xdr:colOff>0</xdr:colOff>
      <xdr:row>32</xdr:row>
      <xdr:rowOff>0</xdr:rowOff>
    </xdr:to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</xdr:row>
      <xdr:rowOff>28575</xdr:rowOff>
    </xdr:from>
    <xdr:to>
      <xdr:col>5</xdr:col>
      <xdr:colOff>0</xdr:colOff>
      <xdr:row>33</xdr:row>
      <xdr:rowOff>0</xdr:rowOff>
    </xdr:to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33</xdr:row>
      <xdr:rowOff>28575</xdr:rowOff>
    </xdr:from>
    <xdr:to>
      <xdr:col>4</xdr:col>
      <xdr:colOff>0</xdr:colOff>
      <xdr:row>34</xdr:row>
      <xdr:rowOff>0</xdr:rowOff>
    </xdr:to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</xdr:row>
      <xdr:rowOff>28575</xdr:rowOff>
    </xdr:from>
    <xdr:to>
      <xdr:col>5</xdr:col>
      <xdr:colOff>0</xdr:colOff>
      <xdr:row>34</xdr:row>
      <xdr:rowOff>0</xdr:rowOff>
    </xdr:to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34</xdr:row>
      <xdr:rowOff>28575</xdr:rowOff>
    </xdr:from>
    <xdr:to>
      <xdr:col>4</xdr:col>
      <xdr:colOff>0</xdr:colOff>
      <xdr:row>35</xdr:row>
      <xdr:rowOff>0</xdr:rowOff>
    </xdr:to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</xdr:row>
      <xdr:rowOff>28575</xdr:rowOff>
    </xdr:from>
    <xdr:to>
      <xdr:col>5</xdr:col>
      <xdr:colOff>0</xdr:colOff>
      <xdr:row>35</xdr:row>
      <xdr:rowOff>0</xdr:rowOff>
    </xdr:to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35</xdr:row>
      <xdr:rowOff>28575</xdr:rowOff>
    </xdr:from>
    <xdr:to>
      <xdr:col>4</xdr:col>
      <xdr:colOff>0</xdr:colOff>
      <xdr:row>36</xdr:row>
      <xdr:rowOff>0</xdr:rowOff>
    </xdr:to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491718" y="39511061"/>
          <a:ext cx="1854653" cy="1212396"/>
        </a:xfrm>
        <a:prstGeom prst="rect">
          <a:avLst/>
        </a:prstGeom>
      </xdr:spPr>
    </xdr:pic>
    <xdr:clientData/>
  </xdr:twoCellAnchor>
  <xdr:twoCellAnchor>
    <xdr:from>
      <xdr:col>4</xdr:col>
      <xdr:colOff>28575</xdr:colOff>
      <xdr:row>35</xdr:row>
      <xdr:rowOff>28575</xdr:rowOff>
    </xdr:from>
    <xdr:to>
      <xdr:col>5</xdr:col>
      <xdr:colOff>0</xdr:colOff>
      <xdr:row>36</xdr:row>
      <xdr:rowOff>0</xdr:rowOff>
    </xdr:to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36</xdr:row>
      <xdr:rowOff>28575</xdr:rowOff>
    </xdr:from>
    <xdr:to>
      <xdr:col>4</xdr:col>
      <xdr:colOff>0</xdr:colOff>
      <xdr:row>37</xdr:row>
      <xdr:rowOff>0</xdr:rowOff>
    </xdr:to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</xdr:row>
      <xdr:rowOff>28575</xdr:rowOff>
    </xdr:from>
    <xdr:to>
      <xdr:col>5</xdr:col>
      <xdr:colOff>0</xdr:colOff>
      <xdr:row>37</xdr:row>
      <xdr:rowOff>0</xdr:rowOff>
    </xdr:to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37</xdr:row>
      <xdr:rowOff>28575</xdr:rowOff>
    </xdr:from>
    <xdr:to>
      <xdr:col>4</xdr:col>
      <xdr:colOff>0</xdr:colOff>
      <xdr:row>38</xdr:row>
      <xdr:rowOff>0</xdr:rowOff>
    </xdr:to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</xdr:row>
      <xdr:rowOff>28575</xdr:rowOff>
    </xdr:from>
    <xdr:to>
      <xdr:col>5</xdr:col>
      <xdr:colOff>0</xdr:colOff>
      <xdr:row>38</xdr:row>
      <xdr:rowOff>0</xdr:rowOff>
    </xdr:to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38</xdr:row>
      <xdr:rowOff>28575</xdr:rowOff>
    </xdr:from>
    <xdr:to>
      <xdr:col>4</xdr:col>
      <xdr:colOff>0</xdr:colOff>
      <xdr:row>39</xdr:row>
      <xdr:rowOff>0</xdr:rowOff>
    </xdr:to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39</xdr:row>
      <xdr:rowOff>28575</xdr:rowOff>
    </xdr:from>
    <xdr:to>
      <xdr:col>4</xdr:col>
      <xdr:colOff>0</xdr:colOff>
      <xdr:row>40</xdr:row>
      <xdr:rowOff>0</xdr:rowOff>
    </xdr:to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</xdr:row>
      <xdr:rowOff>28575</xdr:rowOff>
    </xdr:from>
    <xdr:to>
      <xdr:col>5</xdr:col>
      <xdr:colOff>0</xdr:colOff>
      <xdr:row>40</xdr:row>
      <xdr:rowOff>0</xdr:rowOff>
    </xdr:to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40</xdr:row>
      <xdr:rowOff>28575</xdr:rowOff>
    </xdr:from>
    <xdr:to>
      <xdr:col>4</xdr:col>
      <xdr:colOff>0</xdr:colOff>
      <xdr:row>41</xdr:row>
      <xdr:rowOff>0</xdr:rowOff>
    </xdr:to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40</xdr:row>
      <xdr:rowOff>28575</xdr:rowOff>
    </xdr:from>
    <xdr:to>
      <xdr:col>5</xdr:col>
      <xdr:colOff>0</xdr:colOff>
      <xdr:row>41</xdr:row>
      <xdr:rowOff>0</xdr:rowOff>
    </xdr:to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41</xdr:row>
      <xdr:rowOff>28575</xdr:rowOff>
    </xdr:from>
    <xdr:to>
      <xdr:col>4</xdr:col>
      <xdr:colOff>0</xdr:colOff>
      <xdr:row>42</xdr:row>
      <xdr:rowOff>0</xdr:rowOff>
    </xdr:to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41</xdr:row>
      <xdr:rowOff>28575</xdr:rowOff>
    </xdr:from>
    <xdr:to>
      <xdr:col>5</xdr:col>
      <xdr:colOff>0</xdr:colOff>
      <xdr:row>42</xdr:row>
      <xdr:rowOff>0</xdr:rowOff>
    </xdr:to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42</xdr:row>
      <xdr:rowOff>28575</xdr:rowOff>
    </xdr:from>
    <xdr:to>
      <xdr:col>4</xdr:col>
      <xdr:colOff>0</xdr:colOff>
      <xdr:row>43</xdr:row>
      <xdr:rowOff>0</xdr:rowOff>
    </xdr:to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42</xdr:row>
      <xdr:rowOff>28575</xdr:rowOff>
    </xdr:from>
    <xdr:to>
      <xdr:col>5</xdr:col>
      <xdr:colOff>0</xdr:colOff>
      <xdr:row>43</xdr:row>
      <xdr:rowOff>0</xdr:rowOff>
    </xdr:to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</xdr:row>
      <xdr:rowOff>28575</xdr:rowOff>
    </xdr:from>
    <xdr:to>
      <xdr:col>5</xdr:col>
      <xdr:colOff>0</xdr:colOff>
      <xdr:row>44</xdr:row>
      <xdr:rowOff>0</xdr:rowOff>
    </xdr:to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44</xdr:row>
      <xdr:rowOff>28575</xdr:rowOff>
    </xdr:from>
    <xdr:to>
      <xdr:col>4</xdr:col>
      <xdr:colOff>0</xdr:colOff>
      <xdr:row>45</xdr:row>
      <xdr:rowOff>0</xdr:rowOff>
    </xdr:to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45</xdr:row>
      <xdr:rowOff>28575</xdr:rowOff>
    </xdr:from>
    <xdr:to>
      <xdr:col>4</xdr:col>
      <xdr:colOff>0</xdr:colOff>
      <xdr:row>46</xdr:row>
      <xdr:rowOff>0</xdr:rowOff>
    </xdr:to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46</xdr:row>
      <xdr:rowOff>28575</xdr:rowOff>
    </xdr:from>
    <xdr:to>
      <xdr:col>4</xdr:col>
      <xdr:colOff>0</xdr:colOff>
      <xdr:row>47</xdr:row>
      <xdr:rowOff>0</xdr:rowOff>
    </xdr:to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46</xdr:row>
      <xdr:rowOff>28575</xdr:rowOff>
    </xdr:from>
    <xdr:to>
      <xdr:col>5</xdr:col>
      <xdr:colOff>0</xdr:colOff>
      <xdr:row>47</xdr:row>
      <xdr:rowOff>0</xdr:rowOff>
    </xdr:to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47</xdr:row>
      <xdr:rowOff>28575</xdr:rowOff>
    </xdr:from>
    <xdr:to>
      <xdr:col>4</xdr:col>
      <xdr:colOff>0</xdr:colOff>
      <xdr:row>48</xdr:row>
      <xdr:rowOff>0</xdr:rowOff>
    </xdr:to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47</xdr:row>
      <xdr:rowOff>28575</xdr:rowOff>
    </xdr:from>
    <xdr:to>
      <xdr:col>5</xdr:col>
      <xdr:colOff>0</xdr:colOff>
      <xdr:row>48</xdr:row>
      <xdr:rowOff>0</xdr:rowOff>
    </xdr:to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48</xdr:row>
      <xdr:rowOff>28575</xdr:rowOff>
    </xdr:from>
    <xdr:to>
      <xdr:col>4</xdr:col>
      <xdr:colOff>0</xdr:colOff>
      <xdr:row>49</xdr:row>
      <xdr:rowOff>0</xdr:rowOff>
    </xdr:to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49</xdr:row>
      <xdr:rowOff>28575</xdr:rowOff>
    </xdr:from>
    <xdr:to>
      <xdr:col>4</xdr:col>
      <xdr:colOff>0</xdr:colOff>
      <xdr:row>50</xdr:row>
      <xdr:rowOff>0</xdr:rowOff>
    </xdr:to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49</xdr:row>
      <xdr:rowOff>28575</xdr:rowOff>
    </xdr:from>
    <xdr:to>
      <xdr:col>5</xdr:col>
      <xdr:colOff>0</xdr:colOff>
      <xdr:row>50</xdr:row>
      <xdr:rowOff>0</xdr:rowOff>
    </xdr:to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50</xdr:row>
      <xdr:rowOff>28575</xdr:rowOff>
    </xdr:from>
    <xdr:to>
      <xdr:col>4</xdr:col>
      <xdr:colOff>0</xdr:colOff>
      <xdr:row>51</xdr:row>
      <xdr:rowOff>0</xdr:rowOff>
    </xdr:to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50</xdr:row>
      <xdr:rowOff>28575</xdr:rowOff>
    </xdr:from>
    <xdr:to>
      <xdr:col>5</xdr:col>
      <xdr:colOff>0</xdr:colOff>
      <xdr:row>51</xdr:row>
      <xdr:rowOff>0</xdr:rowOff>
    </xdr:to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51</xdr:row>
      <xdr:rowOff>28575</xdr:rowOff>
    </xdr:from>
    <xdr:to>
      <xdr:col>4</xdr:col>
      <xdr:colOff>0</xdr:colOff>
      <xdr:row>52</xdr:row>
      <xdr:rowOff>0</xdr:rowOff>
    </xdr:to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51</xdr:row>
      <xdr:rowOff>28575</xdr:rowOff>
    </xdr:from>
    <xdr:to>
      <xdr:col>5</xdr:col>
      <xdr:colOff>0</xdr:colOff>
      <xdr:row>52</xdr:row>
      <xdr:rowOff>0</xdr:rowOff>
    </xdr:to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52</xdr:row>
      <xdr:rowOff>28575</xdr:rowOff>
    </xdr:from>
    <xdr:to>
      <xdr:col>4</xdr:col>
      <xdr:colOff>0</xdr:colOff>
      <xdr:row>53</xdr:row>
      <xdr:rowOff>0</xdr:rowOff>
    </xdr:to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52</xdr:row>
      <xdr:rowOff>28575</xdr:rowOff>
    </xdr:from>
    <xdr:to>
      <xdr:col>5</xdr:col>
      <xdr:colOff>0</xdr:colOff>
      <xdr:row>53</xdr:row>
      <xdr:rowOff>0</xdr:rowOff>
    </xdr:to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53</xdr:row>
      <xdr:rowOff>28575</xdr:rowOff>
    </xdr:from>
    <xdr:to>
      <xdr:col>4</xdr:col>
      <xdr:colOff>0</xdr:colOff>
      <xdr:row>54</xdr:row>
      <xdr:rowOff>0</xdr:rowOff>
    </xdr:to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54</xdr:row>
      <xdr:rowOff>28575</xdr:rowOff>
    </xdr:from>
    <xdr:to>
      <xdr:col>4</xdr:col>
      <xdr:colOff>0</xdr:colOff>
      <xdr:row>55</xdr:row>
      <xdr:rowOff>0</xdr:rowOff>
    </xdr:to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55</xdr:row>
      <xdr:rowOff>28575</xdr:rowOff>
    </xdr:from>
    <xdr:to>
      <xdr:col>5</xdr:col>
      <xdr:colOff>0</xdr:colOff>
      <xdr:row>56</xdr:row>
      <xdr:rowOff>0</xdr:rowOff>
    </xdr:to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56</xdr:row>
      <xdr:rowOff>28575</xdr:rowOff>
    </xdr:from>
    <xdr:to>
      <xdr:col>4</xdr:col>
      <xdr:colOff>0</xdr:colOff>
      <xdr:row>57</xdr:row>
      <xdr:rowOff>0</xdr:rowOff>
    </xdr:to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57</xdr:row>
      <xdr:rowOff>28575</xdr:rowOff>
    </xdr:from>
    <xdr:to>
      <xdr:col>4</xdr:col>
      <xdr:colOff>0</xdr:colOff>
      <xdr:row>58</xdr:row>
      <xdr:rowOff>0</xdr:rowOff>
    </xdr:to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58</xdr:row>
      <xdr:rowOff>28575</xdr:rowOff>
    </xdr:from>
    <xdr:to>
      <xdr:col>4</xdr:col>
      <xdr:colOff>0</xdr:colOff>
      <xdr:row>59</xdr:row>
      <xdr:rowOff>0</xdr:rowOff>
    </xdr:to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59</xdr:row>
      <xdr:rowOff>28575</xdr:rowOff>
    </xdr:from>
    <xdr:to>
      <xdr:col>4</xdr:col>
      <xdr:colOff>0</xdr:colOff>
      <xdr:row>60</xdr:row>
      <xdr:rowOff>0</xdr:rowOff>
    </xdr:to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59</xdr:row>
      <xdr:rowOff>28575</xdr:rowOff>
    </xdr:from>
    <xdr:to>
      <xdr:col>5</xdr:col>
      <xdr:colOff>0</xdr:colOff>
      <xdr:row>60</xdr:row>
      <xdr:rowOff>0</xdr:rowOff>
    </xdr:to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60</xdr:row>
      <xdr:rowOff>28575</xdr:rowOff>
    </xdr:from>
    <xdr:to>
      <xdr:col>5</xdr:col>
      <xdr:colOff>0</xdr:colOff>
      <xdr:row>61</xdr:row>
      <xdr:rowOff>0</xdr:rowOff>
    </xdr:to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61</xdr:row>
      <xdr:rowOff>28575</xdr:rowOff>
    </xdr:from>
    <xdr:to>
      <xdr:col>4</xdr:col>
      <xdr:colOff>0</xdr:colOff>
      <xdr:row>62</xdr:row>
      <xdr:rowOff>0</xdr:rowOff>
    </xdr:to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62</xdr:row>
      <xdr:rowOff>28575</xdr:rowOff>
    </xdr:from>
    <xdr:to>
      <xdr:col>4</xdr:col>
      <xdr:colOff>0</xdr:colOff>
      <xdr:row>63</xdr:row>
      <xdr:rowOff>0</xdr:rowOff>
    </xdr:to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62</xdr:row>
      <xdr:rowOff>28575</xdr:rowOff>
    </xdr:from>
    <xdr:to>
      <xdr:col>5</xdr:col>
      <xdr:colOff>0</xdr:colOff>
      <xdr:row>63</xdr:row>
      <xdr:rowOff>0</xdr:rowOff>
    </xdr:to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63</xdr:row>
      <xdr:rowOff>28575</xdr:rowOff>
    </xdr:from>
    <xdr:to>
      <xdr:col>4</xdr:col>
      <xdr:colOff>0</xdr:colOff>
      <xdr:row>64</xdr:row>
      <xdr:rowOff>0</xdr:rowOff>
    </xdr:to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63</xdr:row>
      <xdr:rowOff>28575</xdr:rowOff>
    </xdr:from>
    <xdr:to>
      <xdr:col>5</xdr:col>
      <xdr:colOff>0</xdr:colOff>
      <xdr:row>64</xdr:row>
      <xdr:rowOff>0</xdr:rowOff>
    </xdr:to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64</xdr:row>
      <xdr:rowOff>28575</xdr:rowOff>
    </xdr:from>
    <xdr:to>
      <xdr:col>4</xdr:col>
      <xdr:colOff>0</xdr:colOff>
      <xdr:row>65</xdr:row>
      <xdr:rowOff>0</xdr:rowOff>
    </xdr:to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64</xdr:row>
      <xdr:rowOff>28575</xdr:rowOff>
    </xdr:from>
    <xdr:to>
      <xdr:col>5</xdr:col>
      <xdr:colOff>0</xdr:colOff>
      <xdr:row>65</xdr:row>
      <xdr:rowOff>0</xdr:rowOff>
    </xdr:to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65</xdr:row>
      <xdr:rowOff>28575</xdr:rowOff>
    </xdr:from>
    <xdr:to>
      <xdr:col>4</xdr:col>
      <xdr:colOff>0</xdr:colOff>
      <xdr:row>66</xdr:row>
      <xdr:rowOff>0</xdr:rowOff>
    </xdr:to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65</xdr:row>
      <xdr:rowOff>28575</xdr:rowOff>
    </xdr:from>
    <xdr:to>
      <xdr:col>5</xdr:col>
      <xdr:colOff>0</xdr:colOff>
      <xdr:row>66</xdr:row>
      <xdr:rowOff>0</xdr:rowOff>
    </xdr:to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66</xdr:row>
      <xdr:rowOff>28575</xdr:rowOff>
    </xdr:from>
    <xdr:to>
      <xdr:col>4</xdr:col>
      <xdr:colOff>0</xdr:colOff>
      <xdr:row>67</xdr:row>
      <xdr:rowOff>0</xdr:rowOff>
    </xdr:to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66</xdr:row>
      <xdr:rowOff>28575</xdr:rowOff>
    </xdr:from>
    <xdr:to>
      <xdr:col>5</xdr:col>
      <xdr:colOff>0</xdr:colOff>
      <xdr:row>67</xdr:row>
      <xdr:rowOff>0</xdr:rowOff>
    </xdr:to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67</xdr:row>
      <xdr:rowOff>28575</xdr:rowOff>
    </xdr:from>
    <xdr:to>
      <xdr:col>4</xdr:col>
      <xdr:colOff>0</xdr:colOff>
      <xdr:row>68</xdr:row>
      <xdr:rowOff>0</xdr:rowOff>
    </xdr:to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67</xdr:row>
      <xdr:rowOff>28575</xdr:rowOff>
    </xdr:from>
    <xdr:to>
      <xdr:col>5</xdr:col>
      <xdr:colOff>0</xdr:colOff>
      <xdr:row>68</xdr:row>
      <xdr:rowOff>0</xdr:rowOff>
    </xdr:to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68</xdr:row>
      <xdr:rowOff>28575</xdr:rowOff>
    </xdr:from>
    <xdr:to>
      <xdr:col>4</xdr:col>
      <xdr:colOff>0</xdr:colOff>
      <xdr:row>69</xdr:row>
      <xdr:rowOff>0</xdr:rowOff>
    </xdr:to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68</xdr:row>
      <xdr:rowOff>28575</xdr:rowOff>
    </xdr:from>
    <xdr:to>
      <xdr:col>5</xdr:col>
      <xdr:colOff>0</xdr:colOff>
      <xdr:row>69</xdr:row>
      <xdr:rowOff>0</xdr:rowOff>
    </xdr:to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69</xdr:row>
      <xdr:rowOff>28575</xdr:rowOff>
    </xdr:from>
    <xdr:to>
      <xdr:col>4</xdr:col>
      <xdr:colOff>0</xdr:colOff>
      <xdr:row>70</xdr:row>
      <xdr:rowOff>0</xdr:rowOff>
    </xdr:to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69</xdr:row>
      <xdr:rowOff>28575</xdr:rowOff>
    </xdr:from>
    <xdr:to>
      <xdr:col>5</xdr:col>
      <xdr:colOff>0</xdr:colOff>
      <xdr:row>70</xdr:row>
      <xdr:rowOff>0</xdr:rowOff>
    </xdr:to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70</xdr:row>
      <xdr:rowOff>28575</xdr:rowOff>
    </xdr:from>
    <xdr:to>
      <xdr:col>4</xdr:col>
      <xdr:colOff>0</xdr:colOff>
      <xdr:row>71</xdr:row>
      <xdr:rowOff>0</xdr:rowOff>
    </xdr:to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70</xdr:row>
      <xdr:rowOff>28575</xdr:rowOff>
    </xdr:from>
    <xdr:to>
      <xdr:col>5</xdr:col>
      <xdr:colOff>0</xdr:colOff>
      <xdr:row>71</xdr:row>
      <xdr:rowOff>0</xdr:rowOff>
    </xdr:to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71</xdr:row>
      <xdr:rowOff>28575</xdr:rowOff>
    </xdr:from>
    <xdr:to>
      <xdr:col>4</xdr:col>
      <xdr:colOff>0</xdr:colOff>
      <xdr:row>72</xdr:row>
      <xdr:rowOff>0</xdr:rowOff>
    </xdr:to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72</xdr:row>
      <xdr:rowOff>28575</xdr:rowOff>
    </xdr:from>
    <xdr:to>
      <xdr:col>4</xdr:col>
      <xdr:colOff>0</xdr:colOff>
      <xdr:row>73</xdr:row>
      <xdr:rowOff>0</xdr:rowOff>
    </xdr:to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74</xdr:row>
      <xdr:rowOff>28575</xdr:rowOff>
    </xdr:from>
    <xdr:to>
      <xdr:col>4</xdr:col>
      <xdr:colOff>0</xdr:colOff>
      <xdr:row>75</xdr:row>
      <xdr:rowOff>0</xdr:rowOff>
    </xdr:to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75</xdr:row>
      <xdr:rowOff>28575</xdr:rowOff>
    </xdr:from>
    <xdr:to>
      <xdr:col>4</xdr:col>
      <xdr:colOff>0</xdr:colOff>
      <xdr:row>76</xdr:row>
      <xdr:rowOff>0</xdr:rowOff>
    </xdr:to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76</xdr:row>
      <xdr:rowOff>28575</xdr:rowOff>
    </xdr:from>
    <xdr:to>
      <xdr:col>4</xdr:col>
      <xdr:colOff>0</xdr:colOff>
      <xdr:row>77</xdr:row>
      <xdr:rowOff>0</xdr:rowOff>
    </xdr:to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77</xdr:row>
      <xdr:rowOff>28575</xdr:rowOff>
    </xdr:from>
    <xdr:to>
      <xdr:col>4</xdr:col>
      <xdr:colOff>0</xdr:colOff>
      <xdr:row>78</xdr:row>
      <xdr:rowOff>0</xdr:rowOff>
    </xdr:to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78</xdr:row>
      <xdr:rowOff>28575</xdr:rowOff>
    </xdr:from>
    <xdr:to>
      <xdr:col>5</xdr:col>
      <xdr:colOff>0</xdr:colOff>
      <xdr:row>79</xdr:row>
      <xdr:rowOff>0</xdr:rowOff>
    </xdr:to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79</xdr:row>
      <xdr:rowOff>28575</xdr:rowOff>
    </xdr:from>
    <xdr:to>
      <xdr:col>4</xdr:col>
      <xdr:colOff>0</xdr:colOff>
      <xdr:row>80</xdr:row>
      <xdr:rowOff>0</xdr:rowOff>
    </xdr:to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28575</xdr:colOff>
      <xdr:row>80</xdr:row>
      <xdr:rowOff>28575</xdr:rowOff>
    </xdr:from>
    <xdr:to>
      <xdr:col>4</xdr:col>
      <xdr:colOff>0</xdr:colOff>
      <xdr:row>81</xdr:row>
      <xdr:rowOff>0</xdr:rowOff>
    </xdr:to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80</xdr:row>
      <xdr:rowOff>28575</xdr:rowOff>
    </xdr:from>
    <xdr:to>
      <xdr:col>5</xdr:col>
      <xdr:colOff>0</xdr:colOff>
      <xdr:row>81</xdr:row>
      <xdr:rowOff>0</xdr:rowOff>
    </xdr:to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81</xdr:row>
      <xdr:rowOff>28575</xdr:rowOff>
    </xdr:from>
    <xdr:to>
      <xdr:col>5</xdr:col>
      <xdr:colOff>0</xdr:colOff>
      <xdr:row>82</xdr:row>
      <xdr:rowOff>0</xdr:rowOff>
    </xdr:to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2"/>
  <sheetViews>
    <sheetView tabSelected="1" zoomScale="70" zoomScaleNormal="70" workbookViewId="0">
      <pane xSplit="3" ySplit="4" topLeftCell="D65" activePane="bottomRight" state="frozen"/>
      <selection pane="topRight"/>
      <selection pane="bottomLeft"/>
      <selection pane="bottomRight" activeCell="C82" sqref="C82"/>
    </sheetView>
  </sheetViews>
  <sheetFormatPr defaultRowHeight="14.4"/>
  <cols>
    <col min="1" max="1" width="26" customWidth="1"/>
    <col min="2" max="2" width="24" customWidth="1"/>
    <col min="3" max="3" width="15" customWidth="1"/>
    <col min="4" max="4" width="27.44140625" customWidth="1"/>
    <col min="5" max="5" width="18.44140625" customWidth="1"/>
    <col min="6" max="6" width="40" customWidth="1"/>
    <col min="7" max="7" width="44" customWidth="1"/>
    <col min="8" max="8" width="12" customWidth="1"/>
    <col min="9" max="9" width="34" customWidth="1"/>
    <col min="10" max="10" width="13" customWidth="1"/>
    <col min="11" max="11" width="24" customWidth="1"/>
    <col min="12" max="12" width="54" customWidth="1"/>
  </cols>
  <sheetData>
    <row r="1" spans="1:12" ht="17.399999999999999">
      <c r="A1" s="1" t="s">
        <v>0</v>
      </c>
    </row>
    <row r="2" spans="1:12">
      <c r="A2" s="2" t="s">
        <v>1</v>
      </c>
    </row>
    <row r="3" spans="1:12">
      <c r="A3" s="3" t="s">
        <v>2</v>
      </c>
    </row>
    <row r="4" spans="1:12" ht="34.049999999999997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ht="97.95" customHeight="1">
      <c r="A5" s="5" t="s">
        <v>15</v>
      </c>
      <c r="B5" s="6" t="s">
        <v>16</v>
      </c>
      <c r="C5" s="7" t="s">
        <v>324</v>
      </c>
      <c r="D5" s="6"/>
      <c r="E5" s="6"/>
      <c r="F5" s="8" t="s">
        <v>17</v>
      </c>
      <c r="G5" s="9" t="s">
        <v>18</v>
      </c>
      <c r="H5" s="10">
        <v>46080</v>
      </c>
      <c r="I5" s="8"/>
      <c r="J5" s="6" t="s">
        <v>19</v>
      </c>
      <c r="K5" s="6" t="s">
        <v>20</v>
      </c>
      <c r="L5" s="11" t="s">
        <v>21</v>
      </c>
    </row>
    <row r="6" spans="1:12" ht="97.95" customHeight="1">
      <c r="A6" s="12" t="s">
        <v>22</v>
      </c>
      <c r="B6" s="13" t="s">
        <v>23</v>
      </c>
      <c r="C6" s="7" t="s">
        <v>324</v>
      </c>
      <c r="D6" s="13"/>
      <c r="E6" s="13"/>
      <c r="F6" s="14" t="s">
        <v>24</v>
      </c>
      <c r="G6" s="15" t="s">
        <v>18</v>
      </c>
      <c r="H6" s="16">
        <v>46081</v>
      </c>
      <c r="I6" s="14"/>
      <c r="J6" s="13" t="s">
        <v>19</v>
      </c>
      <c r="K6" s="13" t="s">
        <v>20</v>
      </c>
      <c r="L6" s="17" t="s">
        <v>25</v>
      </c>
    </row>
    <row r="7" spans="1:12" ht="97.95" customHeight="1">
      <c r="A7" s="5" t="s">
        <v>26</v>
      </c>
      <c r="B7" s="6" t="s">
        <v>27</v>
      </c>
      <c r="C7" s="7" t="s">
        <v>323</v>
      </c>
      <c r="D7" s="6"/>
      <c r="E7" s="6"/>
      <c r="F7" s="8" t="s">
        <v>28</v>
      </c>
      <c r="G7" s="9" t="s">
        <v>29</v>
      </c>
      <c r="H7" s="10">
        <v>46178</v>
      </c>
      <c r="I7" s="8"/>
      <c r="J7" s="6" t="s">
        <v>19</v>
      </c>
      <c r="K7" s="6" t="s">
        <v>20</v>
      </c>
      <c r="L7" s="11" t="s">
        <v>30</v>
      </c>
    </row>
    <row r="8" spans="1:12" ht="97.95" customHeight="1">
      <c r="A8" s="12" t="s">
        <v>31</v>
      </c>
      <c r="B8" s="13" t="s">
        <v>32</v>
      </c>
      <c r="C8" s="7" t="s">
        <v>324</v>
      </c>
      <c r="D8" s="13"/>
      <c r="E8" s="13"/>
      <c r="F8" s="14" t="s">
        <v>33</v>
      </c>
      <c r="G8" s="15" t="s">
        <v>18</v>
      </c>
      <c r="H8" s="16">
        <v>46134</v>
      </c>
      <c r="I8" s="14"/>
      <c r="J8" s="13" t="s">
        <v>19</v>
      </c>
      <c r="K8" s="13" t="s">
        <v>20</v>
      </c>
      <c r="L8" s="17" t="s">
        <v>34</v>
      </c>
    </row>
    <row r="9" spans="1:12" ht="97.95" customHeight="1">
      <c r="A9" s="12" t="s">
        <v>31</v>
      </c>
      <c r="B9" s="13" t="s">
        <v>35</v>
      </c>
      <c r="C9" s="7" t="s">
        <v>324</v>
      </c>
      <c r="D9" s="13"/>
      <c r="E9" s="13"/>
      <c r="F9" s="14" t="s">
        <v>36</v>
      </c>
      <c r="G9" s="15" t="s">
        <v>18</v>
      </c>
      <c r="H9" s="16">
        <v>46066</v>
      </c>
      <c r="I9" s="14"/>
      <c r="J9" s="13" t="s">
        <v>37</v>
      </c>
      <c r="K9" s="13" t="s">
        <v>20</v>
      </c>
      <c r="L9" s="17" t="s">
        <v>38</v>
      </c>
    </row>
    <row r="10" spans="1:12" ht="97.95" customHeight="1">
      <c r="A10" s="5" t="s">
        <v>39</v>
      </c>
      <c r="B10" s="6" t="s">
        <v>40</v>
      </c>
      <c r="C10" s="7" t="s">
        <v>324</v>
      </c>
      <c r="D10" s="6"/>
      <c r="E10" s="6"/>
      <c r="F10" s="8" t="s">
        <v>41</v>
      </c>
      <c r="G10" s="9" t="s">
        <v>18</v>
      </c>
      <c r="H10" s="10">
        <v>46136</v>
      </c>
      <c r="I10" s="8"/>
      <c r="J10" s="6" t="s">
        <v>19</v>
      </c>
      <c r="K10" s="6" t="s">
        <v>20</v>
      </c>
      <c r="L10" s="11" t="s">
        <v>42</v>
      </c>
    </row>
    <row r="11" spans="1:12" ht="97.95" customHeight="1">
      <c r="A11" s="5" t="s">
        <v>39</v>
      </c>
      <c r="B11" s="6" t="s">
        <v>43</v>
      </c>
      <c r="C11" s="7" t="s">
        <v>324</v>
      </c>
      <c r="D11" s="6"/>
      <c r="E11" s="6"/>
      <c r="F11" s="8" t="s">
        <v>44</v>
      </c>
      <c r="G11" s="9" t="s">
        <v>18</v>
      </c>
      <c r="H11" s="10">
        <v>46136</v>
      </c>
      <c r="I11" s="8"/>
      <c r="J11" s="6" t="s">
        <v>19</v>
      </c>
      <c r="K11" s="6" t="s">
        <v>20</v>
      </c>
      <c r="L11" s="11" t="s">
        <v>45</v>
      </c>
    </row>
    <row r="12" spans="1:12" ht="97.95" customHeight="1">
      <c r="A12" s="5" t="s">
        <v>39</v>
      </c>
      <c r="B12" s="6" t="s">
        <v>46</v>
      </c>
      <c r="C12" s="7" t="s">
        <v>324</v>
      </c>
      <c r="D12" s="6"/>
      <c r="E12" s="6"/>
      <c r="F12" s="8" t="s">
        <v>47</v>
      </c>
      <c r="G12" s="9" t="s">
        <v>18</v>
      </c>
      <c r="H12" s="10">
        <v>46136</v>
      </c>
      <c r="I12" s="8"/>
      <c r="J12" s="6" t="s">
        <v>19</v>
      </c>
      <c r="K12" s="6" t="s">
        <v>20</v>
      </c>
      <c r="L12" s="11" t="s">
        <v>48</v>
      </c>
    </row>
    <row r="13" spans="1:12" ht="97.95" customHeight="1">
      <c r="A13" s="5" t="s">
        <v>39</v>
      </c>
      <c r="B13" s="6" t="s">
        <v>49</v>
      </c>
      <c r="C13" s="7" t="s">
        <v>323</v>
      </c>
      <c r="D13" s="6"/>
      <c r="E13" s="6"/>
      <c r="F13" s="8" t="s">
        <v>50</v>
      </c>
      <c r="G13" s="9" t="s">
        <v>51</v>
      </c>
      <c r="H13" s="10">
        <v>46178</v>
      </c>
      <c r="I13" s="8"/>
      <c r="J13" s="6" t="s">
        <v>19</v>
      </c>
      <c r="K13" s="6" t="s">
        <v>20</v>
      </c>
      <c r="L13" s="11" t="s">
        <v>52</v>
      </c>
    </row>
    <row r="14" spans="1:12" ht="97.95" customHeight="1">
      <c r="A14" s="5" t="s">
        <v>39</v>
      </c>
      <c r="B14" s="6" t="s">
        <v>53</v>
      </c>
      <c r="C14" s="7"/>
      <c r="D14" s="6"/>
      <c r="E14" s="6"/>
      <c r="F14" s="8" t="s">
        <v>54</v>
      </c>
      <c r="G14" s="9" t="s">
        <v>55</v>
      </c>
      <c r="H14" s="10">
        <v>46171</v>
      </c>
      <c r="I14" s="8"/>
      <c r="J14" s="6" t="s">
        <v>56</v>
      </c>
      <c r="K14" s="6" t="s">
        <v>20</v>
      </c>
      <c r="L14" s="11" t="s">
        <v>57</v>
      </c>
    </row>
    <row r="15" spans="1:12" ht="97.95" customHeight="1">
      <c r="A15" s="12" t="s">
        <v>58</v>
      </c>
      <c r="B15" s="13" t="s">
        <v>59</v>
      </c>
      <c r="C15" s="7"/>
      <c r="D15" s="13"/>
      <c r="E15" s="13"/>
      <c r="F15" s="14" t="s">
        <v>60</v>
      </c>
      <c r="G15" s="15" t="s">
        <v>18</v>
      </c>
      <c r="H15" s="16">
        <v>46169</v>
      </c>
      <c r="I15" s="14"/>
      <c r="J15" s="13" t="s">
        <v>19</v>
      </c>
      <c r="K15" s="13" t="s">
        <v>20</v>
      </c>
      <c r="L15" s="17" t="s">
        <v>61</v>
      </c>
    </row>
    <row r="16" spans="1:12" ht="97.95" customHeight="1">
      <c r="A16" s="5" t="s">
        <v>62</v>
      </c>
      <c r="B16" s="6" t="s">
        <v>63</v>
      </c>
      <c r="C16" s="7" t="s">
        <v>323</v>
      </c>
      <c r="D16" s="6"/>
      <c r="E16" s="6"/>
      <c r="F16" s="8" t="s">
        <v>64</v>
      </c>
      <c r="G16" s="9" t="s">
        <v>65</v>
      </c>
      <c r="H16" s="10">
        <v>46160</v>
      </c>
      <c r="I16" s="8"/>
      <c r="J16" s="6" t="s">
        <v>19</v>
      </c>
      <c r="K16" s="6" t="s">
        <v>66</v>
      </c>
      <c r="L16" s="11" t="s">
        <v>67</v>
      </c>
    </row>
    <row r="17" spans="1:12" ht="97.95" customHeight="1">
      <c r="A17" s="12" t="s">
        <v>68</v>
      </c>
      <c r="B17" s="13" t="s">
        <v>69</v>
      </c>
      <c r="C17" s="7" t="s">
        <v>323</v>
      </c>
      <c r="D17" s="13"/>
      <c r="E17" s="13"/>
      <c r="F17" s="14" t="s">
        <v>70</v>
      </c>
      <c r="G17" s="15" t="s">
        <v>65</v>
      </c>
      <c r="H17" s="16">
        <v>46160</v>
      </c>
      <c r="I17" s="14"/>
      <c r="J17" s="13" t="s">
        <v>19</v>
      </c>
      <c r="K17" s="13" t="s">
        <v>66</v>
      </c>
      <c r="L17" s="17" t="s">
        <v>71</v>
      </c>
    </row>
    <row r="18" spans="1:12" ht="97.95" customHeight="1">
      <c r="A18" s="5" t="s">
        <v>72</v>
      </c>
      <c r="B18" s="6" t="s">
        <v>73</v>
      </c>
      <c r="C18" s="7" t="s">
        <v>323</v>
      </c>
      <c r="D18" s="6"/>
      <c r="E18" s="6"/>
      <c r="F18" s="8" t="s">
        <v>74</v>
      </c>
      <c r="G18" s="9" t="s">
        <v>65</v>
      </c>
      <c r="H18" s="10">
        <v>46160</v>
      </c>
      <c r="I18" s="8"/>
      <c r="J18" s="6" t="s">
        <v>19</v>
      </c>
      <c r="K18" s="6" t="s">
        <v>66</v>
      </c>
      <c r="L18" s="11" t="s">
        <v>75</v>
      </c>
    </row>
    <row r="19" spans="1:12" ht="97.95" customHeight="1">
      <c r="A19" s="12" t="s">
        <v>76</v>
      </c>
      <c r="B19" s="13" t="s">
        <v>77</v>
      </c>
      <c r="C19" s="7" t="s">
        <v>323</v>
      </c>
      <c r="D19" s="13"/>
      <c r="E19" s="13"/>
      <c r="F19" s="14" t="s">
        <v>78</v>
      </c>
      <c r="G19" s="15" t="s">
        <v>29</v>
      </c>
      <c r="H19" s="16">
        <v>46169</v>
      </c>
      <c r="I19" s="14"/>
      <c r="J19" s="13" t="s">
        <v>19</v>
      </c>
      <c r="K19" s="13" t="s">
        <v>66</v>
      </c>
      <c r="L19" s="17" t="s">
        <v>79</v>
      </c>
    </row>
    <row r="20" spans="1:12" ht="97.95" customHeight="1">
      <c r="A20" s="5" t="s">
        <v>80</v>
      </c>
      <c r="B20" s="6" t="s">
        <v>81</v>
      </c>
      <c r="C20" s="7" t="s">
        <v>323</v>
      </c>
      <c r="D20" s="6"/>
      <c r="E20" s="6"/>
      <c r="F20" s="8" t="s">
        <v>82</v>
      </c>
      <c r="G20" s="9" t="s">
        <v>18</v>
      </c>
      <c r="H20" s="10">
        <v>46149</v>
      </c>
      <c r="I20" s="8"/>
      <c r="J20" s="6" t="s">
        <v>19</v>
      </c>
      <c r="K20" s="6" t="s">
        <v>66</v>
      </c>
      <c r="L20" s="11" t="s">
        <v>83</v>
      </c>
    </row>
    <row r="21" spans="1:12" ht="97.95" customHeight="1">
      <c r="A21" s="12" t="s">
        <v>84</v>
      </c>
      <c r="B21" s="13" t="s">
        <v>85</v>
      </c>
      <c r="C21" s="7" t="s">
        <v>323</v>
      </c>
      <c r="D21" s="13"/>
      <c r="E21" s="13"/>
      <c r="F21" s="14" t="s">
        <v>86</v>
      </c>
      <c r="G21" s="15" t="s">
        <v>18</v>
      </c>
      <c r="H21" s="16">
        <v>46148</v>
      </c>
      <c r="I21" s="14"/>
      <c r="J21" s="13" t="s">
        <v>19</v>
      </c>
      <c r="K21" s="13" t="s">
        <v>66</v>
      </c>
      <c r="L21" s="17" t="s">
        <v>87</v>
      </c>
    </row>
    <row r="22" spans="1:12" ht="97.95" customHeight="1">
      <c r="A22" s="12" t="s">
        <v>84</v>
      </c>
      <c r="B22" s="13" t="s">
        <v>88</v>
      </c>
      <c r="C22" s="7" t="s">
        <v>323</v>
      </c>
      <c r="D22" s="13"/>
      <c r="E22" s="13"/>
      <c r="F22" s="14" t="s">
        <v>89</v>
      </c>
      <c r="G22" s="15" t="s">
        <v>18</v>
      </c>
      <c r="H22" s="16">
        <v>46148</v>
      </c>
      <c r="I22" s="14"/>
      <c r="J22" s="13" t="s">
        <v>19</v>
      </c>
      <c r="K22" s="13" t="s">
        <v>66</v>
      </c>
      <c r="L22" s="17" t="s">
        <v>90</v>
      </c>
    </row>
    <row r="23" spans="1:12" ht="97.95" customHeight="1">
      <c r="A23" s="5" t="s">
        <v>91</v>
      </c>
      <c r="B23" s="6" t="s">
        <v>92</v>
      </c>
      <c r="D23" s="6"/>
      <c r="E23" s="6"/>
      <c r="F23" s="8" t="s">
        <v>93</v>
      </c>
      <c r="G23" s="9" t="s">
        <v>94</v>
      </c>
      <c r="H23" s="10">
        <v>46160</v>
      </c>
      <c r="I23" s="8"/>
      <c r="J23" s="6" t="s">
        <v>19</v>
      </c>
      <c r="K23" s="6" t="s">
        <v>66</v>
      </c>
      <c r="L23" s="11" t="s">
        <v>95</v>
      </c>
    </row>
    <row r="24" spans="1:12" ht="97.95" customHeight="1">
      <c r="A24" s="12" t="s">
        <v>96</v>
      </c>
      <c r="B24" s="13" t="s">
        <v>97</v>
      </c>
      <c r="C24" s="7"/>
      <c r="D24" s="13"/>
      <c r="E24" s="13"/>
      <c r="F24" s="14" t="s">
        <v>98</v>
      </c>
      <c r="G24" s="15" t="s">
        <v>18</v>
      </c>
      <c r="H24" s="16">
        <v>46145</v>
      </c>
      <c r="I24" s="14"/>
      <c r="J24" s="13" t="s">
        <v>19</v>
      </c>
      <c r="K24" s="13" t="s">
        <v>66</v>
      </c>
      <c r="L24" s="17" t="s">
        <v>99</v>
      </c>
    </row>
    <row r="25" spans="1:12" ht="97.95" customHeight="1">
      <c r="A25" s="12" t="s">
        <v>96</v>
      </c>
      <c r="B25" s="13" t="s">
        <v>100</v>
      </c>
      <c r="C25" s="7"/>
      <c r="D25" s="13"/>
      <c r="E25" s="13"/>
      <c r="F25" s="14" t="s">
        <v>101</v>
      </c>
      <c r="G25" s="15" t="s">
        <v>18</v>
      </c>
      <c r="H25" s="16">
        <v>46149</v>
      </c>
      <c r="I25" s="14"/>
      <c r="J25" s="13" t="s">
        <v>19</v>
      </c>
      <c r="K25" s="13" t="s">
        <v>66</v>
      </c>
      <c r="L25" s="17" t="s">
        <v>102</v>
      </c>
    </row>
    <row r="26" spans="1:12" ht="97.95" customHeight="1">
      <c r="A26" s="12" t="s">
        <v>96</v>
      </c>
      <c r="B26" s="13" t="s">
        <v>103</v>
      </c>
      <c r="C26" s="7"/>
      <c r="D26" s="13"/>
      <c r="E26" s="13"/>
      <c r="F26" s="14" t="s">
        <v>104</v>
      </c>
      <c r="G26" s="15" t="s">
        <v>18</v>
      </c>
      <c r="H26" s="16">
        <v>46149</v>
      </c>
      <c r="I26" s="14"/>
      <c r="J26" s="13" t="s">
        <v>19</v>
      </c>
      <c r="K26" s="13" t="s">
        <v>66</v>
      </c>
      <c r="L26" s="17" t="s">
        <v>105</v>
      </c>
    </row>
    <row r="27" spans="1:12" ht="97.95" customHeight="1">
      <c r="A27" s="5" t="s">
        <v>106</v>
      </c>
      <c r="B27" s="6" t="s">
        <v>107</v>
      </c>
      <c r="C27" s="7"/>
      <c r="D27" s="6"/>
      <c r="E27" s="6"/>
      <c r="F27" s="8" t="s">
        <v>108</v>
      </c>
      <c r="G27" s="9" t="s">
        <v>18</v>
      </c>
      <c r="H27" s="10">
        <v>46145</v>
      </c>
      <c r="I27" s="8"/>
      <c r="J27" s="6" t="s">
        <v>19</v>
      </c>
      <c r="K27" s="6" t="s">
        <v>66</v>
      </c>
      <c r="L27" s="11" t="s">
        <v>109</v>
      </c>
    </row>
    <row r="28" spans="1:12" ht="97.95" customHeight="1">
      <c r="A28" s="5" t="s">
        <v>106</v>
      </c>
      <c r="B28" s="6" t="s">
        <v>110</v>
      </c>
      <c r="C28" s="7"/>
      <c r="D28" s="6"/>
      <c r="E28" s="6"/>
      <c r="F28" s="8" t="s">
        <v>111</v>
      </c>
      <c r="G28" s="9" t="s">
        <v>18</v>
      </c>
      <c r="H28" s="10">
        <v>46145</v>
      </c>
      <c r="I28" s="8"/>
      <c r="J28" s="6" t="s">
        <v>19</v>
      </c>
      <c r="K28" s="6" t="s">
        <v>66</v>
      </c>
      <c r="L28" s="11" t="s">
        <v>112</v>
      </c>
    </row>
    <row r="29" spans="1:12" ht="97.95" customHeight="1">
      <c r="A29" s="5" t="s">
        <v>106</v>
      </c>
      <c r="B29" s="6" t="s">
        <v>113</v>
      </c>
      <c r="C29" s="7"/>
      <c r="D29" s="6"/>
      <c r="E29" s="6"/>
      <c r="F29" s="8" t="s">
        <v>114</v>
      </c>
      <c r="G29" s="9" t="s">
        <v>18</v>
      </c>
      <c r="H29" s="10">
        <v>46145</v>
      </c>
      <c r="I29" s="8"/>
      <c r="J29" s="6" t="s">
        <v>19</v>
      </c>
      <c r="K29" s="6" t="s">
        <v>66</v>
      </c>
      <c r="L29" s="11" t="s">
        <v>115</v>
      </c>
    </row>
    <row r="30" spans="1:12" ht="97.95" customHeight="1">
      <c r="A30" s="12" t="s">
        <v>116</v>
      </c>
      <c r="B30" s="13" t="s">
        <v>117</v>
      </c>
      <c r="C30" s="7" t="s">
        <v>324</v>
      </c>
      <c r="D30" s="13"/>
      <c r="E30" s="13"/>
      <c r="F30" s="14" t="s">
        <v>118</v>
      </c>
      <c r="G30" s="15" t="s">
        <v>119</v>
      </c>
      <c r="H30" s="16">
        <v>46135</v>
      </c>
      <c r="I30" s="14"/>
      <c r="J30" s="13" t="s">
        <v>120</v>
      </c>
      <c r="K30" s="13" t="s">
        <v>121</v>
      </c>
      <c r="L30" s="17" t="s">
        <v>122</v>
      </c>
    </row>
    <row r="31" spans="1:12" ht="97.95" customHeight="1">
      <c r="A31" s="12" t="s">
        <v>116</v>
      </c>
      <c r="B31" s="13" t="s">
        <v>123</v>
      </c>
      <c r="C31" s="7" t="s">
        <v>324</v>
      </c>
      <c r="D31" s="13"/>
      <c r="E31" s="13"/>
      <c r="F31" s="14" t="s">
        <v>124</v>
      </c>
      <c r="G31" s="15" t="s">
        <v>125</v>
      </c>
      <c r="H31" s="16">
        <v>46139</v>
      </c>
      <c r="I31" s="14"/>
      <c r="J31" s="13" t="s">
        <v>120</v>
      </c>
      <c r="K31" s="13" t="s">
        <v>121</v>
      </c>
      <c r="L31" s="17" t="s">
        <v>126</v>
      </c>
    </row>
    <row r="32" spans="1:12" ht="97.95" customHeight="1">
      <c r="A32" s="12" t="s">
        <v>116</v>
      </c>
      <c r="B32" s="13" t="s">
        <v>127</v>
      </c>
      <c r="C32" s="7" t="s">
        <v>324</v>
      </c>
      <c r="D32" s="13"/>
      <c r="E32" s="13"/>
      <c r="F32" s="14" t="s">
        <v>128</v>
      </c>
      <c r="G32" s="15" t="s">
        <v>18</v>
      </c>
      <c r="H32" s="16">
        <v>46140</v>
      </c>
      <c r="I32" s="14"/>
      <c r="J32" s="13" t="s">
        <v>120</v>
      </c>
      <c r="K32" s="13" t="s">
        <v>121</v>
      </c>
      <c r="L32" s="17" t="s">
        <v>129</v>
      </c>
    </row>
    <row r="33" spans="1:12" ht="97.95" customHeight="1">
      <c r="A33" s="12" t="s">
        <v>116</v>
      </c>
      <c r="B33" s="13" t="s">
        <v>130</v>
      </c>
      <c r="C33" s="7" t="s">
        <v>324</v>
      </c>
      <c r="D33" s="13"/>
      <c r="E33" s="13"/>
      <c r="F33" s="14" t="s">
        <v>131</v>
      </c>
      <c r="G33" s="15" t="s">
        <v>125</v>
      </c>
      <c r="H33" s="16">
        <v>46140</v>
      </c>
      <c r="I33" s="14"/>
      <c r="J33" s="13" t="s">
        <v>120</v>
      </c>
      <c r="K33" s="13" t="s">
        <v>121</v>
      </c>
      <c r="L33" s="17" t="s">
        <v>132</v>
      </c>
    </row>
    <row r="34" spans="1:12" ht="97.95" customHeight="1">
      <c r="A34" s="12" t="s">
        <v>116</v>
      </c>
      <c r="B34" s="13" t="s">
        <v>133</v>
      </c>
      <c r="C34" s="7" t="s">
        <v>323</v>
      </c>
      <c r="D34" s="13"/>
      <c r="E34" s="13"/>
      <c r="F34" s="14" t="s">
        <v>134</v>
      </c>
      <c r="G34" s="15" t="s">
        <v>135</v>
      </c>
      <c r="H34" s="16">
        <v>46154</v>
      </c>
      <c r="I34" s="14"/>
      <c r="J34" s="13" t="s">
        <v>120</v>
      </c>
      <c r="K34" s="13" t="s">
        <v>121</v>
      </c>
      <c r="L34" s="17" t="s">
        <v>136</v>
      </c>
    </row>
    <row r="35" spans="1:12" ht="97.95" customHeight="1">
      <c r="A35" s="5" t="s">
        <v>137</v>
      </c>
      <c r="B35" s="6" t="s">
        <v>138</v>
      </c>
      <c r="C35" s="7" t="s">
        <v>324</v>
      </c>
      <c r="D35" s="6"/>
      <c r="E35" s="6"/>
      <c r="F35" s="8" t="s">
        <v>139</v>
      </c>
      <c r="G35" s="9" t="s">
        <v>140</v>
      </c>
      <c r="H35" s="10">
        <v>46136</v>
      </c>
      <c r="I35" s="8"/>
      <c r="J35" s="6" t="s">
        <v>120</v>
      </c>
      <c r="K35" s="6" t="s">
        <v>121</v>
      </c>
      <c r="L35" s="11" t="s">
        <v>141</v>
      </c>
    </row>
    <row r="36" spans="1:12" ht="97.95" customHeight="1">
      <c r="A36" s="5" t="s">
        <v>137</v>
      </c>
      <c r="B36" s="6" t="s">
        <v>142</v>
      </c>
      <c r="C36" s="7" t="s">
        <v>324</v>
      </c>
      <c r="D36" s="6"/>
      <c r="E36" s="6"/>
      <c r="F36" s="8" t="s">
        <v>143</v>
      </c>
      <c r="G36" s="9" t="s">
        <v>18</v>
      </c>
      <c r="H36" s="10">
        <v>46135</v>
      </c>
      <c r="I36" s="8"/>
      <c r="J36" s="6" t="s">
        <v>120</v>
      </c>
      <c r="K36" s="6" t="s">
        <v>121</v>
      </c>
      <c r="L36" s="11" t="s">
        <v>144</v>
      </c>
    </row>
    <row r="37" spans="1:12" ht="97.95" customHeight="1">
      <c r="A37" s="5" t="s">
        <v>137</v>
      </c>
      <c r="B37" s="6" t="s">
        <v>145</v>
      </c>
      <c r="C37" s="7" t="s">
        <v>324</v>
      </c>
      <c r="D37" s="6"/>
      <c r="E37" s="6"/>
      <c r="F37" s="8" t="s">
        <v>146</v>
      </c>
      <c r="G37" s="9" t="s">
        <v>18</v>
      </c>
      <c r="H37" s="10">
        <v>46142</v>
      </c>
      <c r="I37" s="8"/>
      <c r="J37" s="6" t="s">
        <v>120</v>
      </c>
      <c r="K37" s="6" t="s">
        <v>121</v>
      </c>
      <c r="L37" s="11" t="s">
        <v>147</v>
      </c>
    </row>
    <row r="38" spans="1:12" ht="97.95" customHeight="1">
      <c r="A38" s="5" t="s">
        <v>137</v>
      </c>
      <c r="B38" s="6" t="s">
        <v>148</v>
      </c>
      <c r="C38" s="7" t="s">
        <v>324</v>
      </c>
      <c r="D38" s="6"/>
      <c r="E38" s="6"/>
      <c r="F38" s="8" t="s">
        <v>149</v>
      </c>
      <c r="G38" s="9" t="s">
        <v>18</v>
      </c>
      <c r="H38" s="10">
        <v>46142</v>
      </c>
      <c r="I38" s="8"/>
      <c r="J38" s="6" t="s">
        <v>120</v>
      </c>
      <c r="K38" s="6" t="s">
        <v>121</v>
      </c>
      <c r="L38" s="11" t="s">
        <v>150</v>
      </c>
    </row>
    <row r="39" spans="1:12" ht="97.95" customHeight="1">
      <c r="A39" s="5" t="s">
        <v>137</v>
      </c>
      <c r="B39" s="6" t="s">
        <v>151</v>
      </c>
      <c r="C39" s="7" t="s">
        <v>324</v>
      </c>
      <c r="D39" s="6"/>
      <c r="E39" s="6"/>
      <c r="F39" s="8" t="s">
        <v>152</v>
      </c>
      <c r="G39" s="9" t="s">
        <v>135</v>
      </c>
      <c r="H39" s="10">
        <v>46146</v>
      </c>
      <c r="I39" s="8"/>
      <c r="J39" s="6" t="s">
        <v>120</v>
      </c>
      <c r="K39" s="6" t="s">
        <v>121</v>
      </c>
      <c r="L39" s="11" t="s">
        <v>153</v>
      </c>
    </row>
    <row r="40" spans="1:12" ht="97.95" customHeight="1">
      <c r="A40" s="12" t="s">
        <v>154</v>
      </c>
      <c r="B40" s="13" t="s">
        <v>155</v>
      </c>
      <c r="C40" s="7" t="s">
        <v>323</v>
      </c>
      <c r="D40" s="13"/>
      <c r="E40" s="13"/>
      <c r="F40" s="14" t="s">
        <v>156</v>
      </c>
      <c r="G40" s="15" t="s">
        <v>157</v>
      </c>
      <c r="H40" s="16">
        <v>46161</v>
      </c>
      <c r="I40" s="14"/>
      <c r="J40" s="13" t="s">
        <v>120</v>
      </c>
      <c r="K40" s="13" t="s">
        <v>121</v>
      </c>
      <c r="L40" s="17" t="s">
        <v>158</v>
      </c>
    </row>
    <row r="41" spans="1:12" ht="97.95" customHeight="1">
      <c r="A41" s="12" t="s">
        <v>154</v>
      </c>
      <c r="B41" s="13" t="s">
        <v>159</v>
      </c>
      <c r="C41" s="7" t="s">
        <v>323</v>
      </c>
      <c r="D41" s="13"/>
      <c r="E41" s="13"/>
      <c r="F41" s="14" t="s">
        <v>160</v>
      </c>
      <c r="G41" s="15" t="s">
        <v>161</v>
      </c>
      <c r="H41" s="16">
        <v>46161</v>
      </c>
      <c r="I41" s="14"/>
      <c r="J41" s="13" t="s">
        <v>120</v>
      </c>
      <c r="K41" s="13" t="s">
        <v>121</v>
      </c>
      <c r="L41" s="17" t="s">
        <v>162</v>
      </c>
    </row>
    <row r="42" spans="1:12" ht="97.95" customHeight="1">
      <c r="A42" s="5" t="s">
        <v>163</v>
      </c>
      <c r="B42" s="6" t="s">
        <v>164</v>
      </c>
      <c r="C42" s="7" t="s">
        <v>323</v>
      </c>
      <c r="D42" s="6"/>
      <c r="E42" s="6"/>
      <c r="F42" s="8" t="s">
        <v>165</v>
      </c>
      <c r="G42" s="9" t="s">
        <v>18</v>
      </c>
      <c r="H42" s="10">
        <v>46140</v>
      </c>
      <c r="I42" s="8"/>
      <c r="J42" s="6" t="s">
        <v>120</v>
      </c>
      <c r="K42" s="6" t="s">
        <v>121</v>
      </c>
      <c r="L42" s="11" t="s">
        <v>166</v>
      </c>
    </row>
    <row r="43" spans="1:12" ht="97.95" customHeight="1">
      <c r="A43" s="12" t="s">
        <v>167</v>
      </c>
      <c r="B43" s="13" t="s">
        <v>168</v>
      </c>
      <c r="C43" s="7" t="s">
        <v>323</v>
      </c>
      <c r="D43" s="13"/>
      <c r="E43" s="13"/>
      <c r="F43" s="14" t="s">
        <v>169</v>
      </c>
      <c r="G43" s="15" t="s">
        <v>18</v>
      </c>
      <c r="H43" s="16">
        <v>46136</v>
      </c>
      <c r="I43" s="14"/>
      <c r="J43" s="13" t="s">
        <v>120</v>
      </c>
      <c r="K43" s="13" t="s">
        <v>121</v>
      </c>
      <c r="L43" s="17" t="s">
        <v>170</v>
      </c>
    </row>
    <row r="44" spans="1:12" ht="97.95" customHeight="1">
      <c r="A44" s="5" t="s">
        <v>171</v>
      </c>
      <c r="B44" s="6" t="s">
        <v>172</v>
      </c>
      <c r="C44" s="7" t="s">
        <v>323</v>
      </c>
      <c r="D44" s="6"/>
      <c r="E44" s="6"/>
      <c r="F44" s="8" t="s">
        <v>173</v>
      </c>
      <c r="G44" s="9" t="s">
        <v>125</v>
      </c>
      <c r="H44" s="10">
        <v>46135</v>
      </c>
      <c r="I44" s="8"/>
      <c r="J44" s="6" t="s">
        <v>120</v>
      </c>
      <c r="K44" s="6" t="s">
        <v>121</v>
      </c>
      <c r="L44" s="11" t="s">
        <v>174</v>
      </c>
    </row>
    <row r="45" spans="1:12" ht="97.95" customHeight="1">
      <c r="A45" s="12" t="s">
        <v>175</v>
      </c>
      <c r="B45" s="13" t="s">
        <v>176</v>
      </c>
      <c r="C45" s="7"/>
      <c r="D45" s="13"/>
      <c r="E45" s="13"/>
      <c r="F45" s="14" t="s">
        <v>177</v>
      </c>
      <c r="G45" s="15" t="s">
        <v>18</v>
      </c>
      <c r="H45" s="16">
        <v>46127</v>
      </c>
      <c r="I45" s="14"/>
      <c r="J45" s="13" t="s">
        <v>120</v>
      </c>
      <c r="K45" s="13" t="s">
        <v>178</v>
      </c>
      <c r="L45" s="17" t="s">
        <v>179</v>
      </c>
    </row>
    <row r="46" spans="1:12" ht="97.95" customHeight="1">
      <c r="A46" s="12" t="s">
        <v>175</v>
      </c>
      <c r="B46" s="13" t="s">
        <v>142</v>
      </c>
      <c r="C46" s="7" t="s">
        <v>323</v>
      </c>
      <c r="D46" s="13"/>
      <c r="E46" s="13"/>
      <c r="F46" s="14" t="s">
        <v>180</v>
      </c>
      <c r="G46" s="15" t="s">
        <v>18</v>
      </c>
      <c r="H46" s="16">
        <v>46140</v>
      </c>
      <c r="I46" s="14"/>
      <c r="J46" s="13" t="s">
        <v>120</v>
      </c>
      <c r="K46" s="13" t="s">
        <v>178</v>
      </c>
      <c r="L46" s="17" t="s">
        <v>181</v>
      </c>
    </row>
    <row r="47" spans="1:12" ht="97.95" customHeight="1">
      <c r="A47" s="12" t="s">
        <v>175</v>
      </c>
      <c r="B47" s="13" t="s">
        <v>145</v>
      </c>
      <c r="C47" s="7" t="s">
        <v>323</v>
      </c>
      <c r="D47" s="13"/>
      <c r="E47" s="13"/>
      <c r="F47" s="14" t="s">
        <v>182</v>
      </c>
      <c r="G47" s="15" t="s">
        <v>18</v>
      </c>
      <c r="H47" s="16">
        <v>46142</v>
      </c>
      <c r="I47" s="14"/>
      <c r="J47" s="13" t="s">
        <v>120</v>
      </c>
      <c r="K47" s="13" t="s">
        <v>178</v>
      </c>
      <c r="L47" s="17" t="s">
        <v>183</v>
      </c>
    </row>
    <row r="48" spans="1:12" ht="97.95" customHeight="1">
      <c r="A48" s="12" t="s">
        <v>175</v>
      </c>
      <c r="B48" s="13" t="s">
        <v>148</v>
      </c>
      <c r="C48" s="7" t="s">
        <v>323</v>
      </c>
      <c r="D48" s="13"/>
      <c r="E48" s="13"/>
      <c r="F48" s="14" t="s">
        <v>184</v>
      </c>
      <c r="G48" s="15" t="s">
        <v>185</v>
      </c>
      <c r="H48" s="16">
        <v>46172</v>
      </c>
      <c r="I48" s="14"/>
      <c r="J48" s="13" t="s">
        <v>120</v>
      </c>
      <c r="K48" s="13" t="s">
        <v>178</v>
      </c>
      <c r="L48" s="17" t="s">
        <v>186</v>
      </c>
    </row>
    <row r="49" spans="1:12" ht="97.95" customHeight="1">
      <c r="A49" s="12" t="s">
        <v>175</v>
      </c>
      <c r="B49" s="13" t="s">
        <v>187</v>
      </c>
      <c r="C49" s="7" t="s">
        <v>323</v>
      </c>
      <c r="D49" s="13"/>
      <c r="E49" s="13"/>
      <c r="F49" s="14" t="s">
        <v>188</v>
      </c>
      <c r="G49" s="15" t="s">
        <v>18</v>
      </c>
      <c r="H49" s="16">
        <v>46154</v>
      </c>
      <c r="I49" s="14"/>
      <c r="J49" s="13" t="s">
        <v>120</v>
      </c>
      <c r="K49" s="13" t="s">
        <v>178</v>
      </c>
      <c r="L49" s="17" t="s">
        <v>189</v>
      </c>
    </row>
    <row r="50" spans="1:12" ht="97.95" customHeight="1">
      <c r="A50" s="5" t="s">
        <v>190</v>
      </c>
      <c r="B50" s="6" t="s">
        <v>176</v>
      </c>
      <c r="C50" s="7" t="s">
        <v>324</v>
      </c>
      <c r="D50" s="6"/>
      <c r="E50" s="6"/>
      <c r="F50" s="8" t="s">
        <v>191</v>
      </c>
      <c r="G50" s="9" t="s">
        <v>135</v>
      </c>
      <c r="H50" s="10">
        <v>46172</v>
      </c>
      <c r="I50" s="8"/>
      <c r="J50" s="6" t="s">
        <v>120</v>
      </c>
      <c r="K50" s="6" t="s">
        <v>178</v>
      </c>
      <c r="L50" s="11" t="s">
        <v>192</v>
      </c>
    </row>
    <row r="51" spans="1:12" ht="97.95" customHeight="1">
      <c r="A51" s="5" t="s">
        <v>190</v>
      </c>
      <c r="B51" s="6" t="s">
        <v>142</v>
      </c>
      <c r="C51" s="7" t="s">
        <v>323</v>
      </c>
      <c r="D51" s="6"/>
      <c r="E51" s="6"/>
      <c r="F51" s="8" t="s">
        <v>193</v>
      </c>
      <c r="G51" s="9" t="s">
        <v>194</v>
      </c>
      <c r="H51" s="10">
        <v>46160</v>
      </c>
      <c r="I51" s="8"/>
      <c r="J51" s="6" t="s">
        <v>120</v>
      </c>
      <c r="K51" s="6" t="s">
        <v>178</v>
      </c>
      <c r="L51" s="11" t="s">
        <v>195</v>
      </c>
    </row>
    <row r="52" spans="1:12" ht="97.95" customHeight="1">
      <c r="A52" s="12" t="s">
        <v>196</v>
      </c>
      <c r="B52" s="13" t="s">
        <v>176</v>
      </c>
      <c r="C52" s="7" t="s">
        <v>323</v>
      </c>
      <c r="D52" s="13"/>
      <c r="E52" s="13"/>
      <c r="F52" s="14" t="s">
        <v>197</v>
      </c>
      <c r="G52" s="15" t="s">
        <v>198</v>
      </c>
      <c r="H52" s="16">
        <v>46161</v>
      </c>
      <c r="I52" s="14"/>
      <c r="J52" s="13" t="s">
        <v>120</v>
      </c>
      <c r="K52" s="13" t="s">
        <v>178</v>
      </c>
      <c r="L52" s="17" t="s">
        <v>199</v>
      </c>
    </row>
    <row r="53" spans="1:12" ht="97.95" customHeight="1">
      <c r="A53" s="5" t="s">
        <v>200</v>
      </c>
      <c r="B53" s="6" t="s">
        <v>176</v>
      </c>
      <c r="C53" s="7" t="s">
        <v>323</v>
      </c>
      <c r="D53" s="6"/>
      <c r="E53" s="6"/>
      <c r="F53" s="8" t="s">
        <v>201</v>
      </c>
      <c r="G53" s="9" t="s">
        <v>202</v>
      </c>
      <c r="H53" s="10">
        <v>46160</v>
      </c>
      <c r="I53" s="8"/>
      <c r="J53" s="6" t="s">
        <v>120</v>
      </c>
      <c r="K53" s="6" t="s">
        <v>178</v>
      </c>
      <c r="L53" s="11" t="s">
        <v>203</v>
      </c>
    </row>
    <row r="54" spans="1:12" ht="97.95" customHeight="1">
      <c r="A54" s="12" t="s">
        <v>204</v>
      </c>
      <c r="B54" s="13" t="s">
        <v>176</v>
      </c>
      <c r="C54" s="7" t="s">
        <v>324</v>
      </c>
      <c r="D54" s="13"/>
      <c r="E54" s="13"/>
      <c r="F54" s="14" t="s">
        <v>205</v>
      </c>
      <c r="G54" s="15" t="s">
        <v>18</v>
      </c>
      <c r="H54" s="16">
        <v>46128</v>
      </c>
      <c r="I54" s="14"/>
      <c r="J54" s="13" t="s">
        <v>120</v>
      </c>
      <c r="K54" s="13" t="s">
        <v>178</v>
      </c>
      <c r="L54" s="17" t="s">
        <v>206</v>
      </c>
    </row>
    <row r="55" spans="1:12" ht="97.95" customHeight="1">
      <c r="A55" s="12" t="s">
        <v>204</v>
      </c>
      <c r="B55" s="13" t="s">
        <v>142</v>
      </c>
      <c r="C55" s="7" t="s">
        <v>324</v>
      </c>
      <c r="D55" s="13"/>
      <c r="E55" s="13"/>
      <c r="F55" s="14" t="s">
        <v>207</v>
      </c>
      <c r="G55" s="15" t="s">
        <v>135</v>
      </c>
      <c r="H55" s="16">
        <v>46136</v>
      </c>
      <c r="I55" s="14"/>
      <c r="J55" s="13" t="s">
        <v>120</v>
      </c>
      <c r="K55" s="13" t="s">
        <v>178</v>
      </c>
      <c r="L55" s="17" t="s">
        <v>208</v>
      </c>
    </row>
    <row r="56" spans="1:12" ht="97.95" customHeight="1">
      <c r="A56" s="5" t="s">
        <v>209</v>
      </c>
      <c r="B56" s="6" t="s">
        <v>210</v>
      </c>
      <c r="C56" s="7" t="s">
        <v>323</v>
      </c>
      <c r="D56" s="6"/>
      <c r="E56" s="6"/>
      <c r="F56" s="8" t="s">
        <v>211</v>
      </c>
      <c r="G56" s="9" t="s">
        <v>212</v>
      </c>
      <c r="H56" s="10">
        <v>46169</v>
      </c>
      <c r="I56" s="8"/>
      <c r="J56" s="6" t="s">
        <v>37</v>
      </c>
      <c r="K56" s="6" t="s">
        <v>213</v>
      </c>
      <c r="L56" s="11" t="s">
        <v>214</v>
      </c>
    </row>
    <row r="57" spans="1:12" ht="97.95" customHeight="1">
      <c r="A57" s="12" t="s">
        <v>215</v>
      </c>
      <c r="B57" s="13" t="s">
        <v>216</v>
      </c>
      <c r="C57" s="7" t="s">
        <v>324</v>
      </c>
      <c r="D57" s="13"/>
      <c r="E57" s="13"/>
      <c r="F57" s="14" t="s">
        <v>217</v>
      </c>
      <c r="G57" s="15" t="s">
        <v>18</v>
      </c>
      <c r="H57" s="16">
        <v>46123</v>
      </c>
      <c r="I57" s="14"/>
      <c r="J57" s="13" t="s">
        <v>120</v>
      </c>
      <c r="K57" s="13" t="s">
        <v>213</v>
      </c>
      <c r="L57" s="17" t="s">
        <v>218</v>
      </c>
    </row>
    <row r="58" spans="1:12" ht="97.95" customHeight="1">
      <c r="A58" s="12" t="s">
        <v>215</v>
      </c>
      <c r="B58" s="13" t="s">
        <v>219</v>
      </c>
      <c r="C58" s="7" t="s">
        <v>324</v>
      </c>
      <c r="D58" s="13"/>
      <c r="E58" s="13"/>
      <c r="F58" s="14" t="s">
        <v>217</v>
      </c>
      <c r="G58" s="15" t="s">
        <v>18</v>
      </c>
      <c r="H58" s="16">
        <v>46123</v>
      </c>
      <c r="I58" s="14"/>
      <c r="J58" s="13" t="s">
        <v>120</v>
      </c>
      <c r="K58" s="13" t="s">
        <v>213</v>
      </c>
      <c r="L58" s="17" t="s">
        <v>220</v>
      </c>
    </row>
    <row r="59" spans="1:12" ht="97.95" customHeight="1">
      <c r="A59" s="12" t="s">
        <v>215</v>
      </c>
      <c r="B59" s="13" t="s">
        <v>221</v>
      </c>
      <c r="C59" s="7" t="s">
        <v>324</v>
      </c>
      <c r="D59" s="13"/>
      <c r="E59" s="13"/>
      <c r="F59" s="14" t="s">
        <v>222</v>
      </c>
      <c r="G59" s="15" t="s">
        <v>18</v>
      </c>
      <c r="H59" s="16">
        <v>46124</v>
      </c>
      <c r="I59" s="14"/>
      <c r="J59" s="13" t="s">
        <v>120</v>
      </c>
      <c r="K59" s="13" t="s">
        <v>213</v>
      </c>
      <c r="L59" s="17" t="s">
        <v>223</v>
      </c>
    </row>
    <row r="60" spans="1:12" ht="97.95" customHeight="1">
      <c r="A60" s="5" t="s">
        <v>224</v>
      </c>
      <c r="B60" s="6" t="s">
        <v>225</v>
      </c>
      <c r="C60" s="7" t="s">
        <v>324</v>
      </c>
      <c r="D60" s="6"/>
      <c r="E60" s="6"/>
      <c r="F60" s="8" t="s">
        <v>226</v>
      </c>
      <c r="G60" s="9" t="s">
        <v>18</v>
      </c>
      <c r="H60" s="10">
        <v>46136</v>
      </c>
      <c r="I60" s="8"/>
      <c r="J60" s="6" t="s">
        <v>120</v>
      </c>
      <c r="K60" s="6" t="s">
        <v>213</v>
      </c>
      <c r="L60" s="11" t="s">
        <v>227</v>
      </c>
    </row>
    <row r="61" spans="1:12" ht="97.95" customHeight="1">
      <c r="A61" s="5" t="s">
        <v>224</v>
      </c>
      <c r="B61" s="6" t="s">
        <v>228</v>
      </c>
      <c r="C61" s="7" t="s">
        <v>324</v>
      </c>
      <c r="D61" s="6"/>
      <c r="E61" s="6"/>
      <c r="F61" s="8" t="s">
        <v>229</v>
      </c>
      <c r="G61" s="9" t="s">
        <v>125</v>
      </c>
      <c r="H61" s="10">
        <v>46135</v>
      </c>
      <c r="I61" s="8"/>
      <c r="J61" s="6" t="s">
        <v>120</v>
      </c>
      <c r="K61" s="6" t="s">
        <v>213</v>
      </c>
      <c r="L61" s="11" t="s">
        <v>230</v>
      </c>
    </row>
    <row r="62" spans="1:12" ht="97.95" customHeight="1">
      <c r="A62" s="5" t="s">
        <v>224</v>
      </c>
      <c r="B62" s="6" t="s">
        <v>231</v>
      </c>
      <c r="C62" s="7" t="s">
        <v>324</v>
      </c>
      <c r="D62" s="6"/>
      <c r="E62" s="6"/>
      <c r="F62" s="8" t="s">
        <v>232</v>
      </c>
      <c r="G62" s="9" t="s">
        <v>18</v>
      </c>
      <c r="H62" s="10">
        <v>46145</v>
      </c>
      <c r="I62" s="8"/>
      <c r="J62" s="6" t="s">
        <v>120</v>
      </c>
      <c r="K62" s="6" t="s">
        <v>213</v>
      </c>
      <c r="L62" s="11" t="s">
        <v>233</v>
      </c>
    </row>
    <row r="63" spans="1:12" ht="97.95" customHeight="1">
      <c r="A63" s="5" t="s">
        <v>224</v>
      </c>
      <c r="B63" s="6" t="s">
        <v>234</v>
      </c>
      <c r="C63" s="7" t="s">
        <v>323</v>
      </c>
      <c r="D63" s="6"/>
      <c r="E63" s="6"/>
      <c r="F63" s="8" t="s">
        <v>235</v>
      </c>
      <c r="G63" s="9" t="s">
        <v>236</v>
      </c>
      <c r="H63" s="10">
        <v>46149</v>
      </c>
      <c r="I63" s="8"/>
      <c r="J63" s="6" t="s">
        <v>120</v>
      </c>
      <c r="K63" s="6" t="s">
        <v>213</v>
      </c>
      <c r="L63" s="11" t="s">
        <v>237</v>
      </c>
    </row>
    <row r="64" spans="1:12" ht="97.95" customHeight="1">
      <c r="A64" s="12" t="s">
        <v>238</v>
      </c>
      <c r="B64" s="13" t="s">
        <v>239</v>
      </c>
      <c r="C64" s="7" t="s">
        <v>323</v>
      </c>
      <c r="D64" s="13"/>
      <c r="E64" s="13"/>
      <c r="F64" s="14" t="s">
        <v>240</v>
      </c>
      <c r="G64" s="15" t="s">
        <v>241</v>
      </c>
      <c r="H64" s="16">
        <v>46172</v>
      </c>
      <c r="I64" s="14"/>
      <c r="J64" s="13" t="s">
        <v>120</v>
      </c>
      <c r="K64" s="13" t="s">
        <v>213</v>
      </c>
      <c r="L64" s="17" t="s">
        <v>242</v>
      </c>
    </row>
    <row r="65" spans="1:12" ht="97.95" customHeight="1">
      <c r="A65" s="5" t="s">
        <v>243</v>
      </c>
      <c r="B65" s="6" t="s">
        <v>244</v>
      </c>
      <c r="C65" s="7" t="s">
        <v>323</v>
      </c>
      <c r="D65" s="6"/>
      <c r="E65" s="6"/>
      <c r="F65" s="8" t="s">
        <v>245</v>
      </c>
      <c r="G65" s="9" t="s">
        <v>246</v>
      </c>
      <c r="H65" s="10">
        <v>46167</v>
      </c>
      <c r="I65" s="8"/>
      <c r="J65" s="6" t="s">
        <v>120</v>
      </c>
      <c r="K65" s="6" t="s">
        <v>213</v>
      </c>
      <c r="L65" s="11" t="s">
        <v>247</v>
      </c>
    </row>
    <row r="66" spans="1:12" ht="97.95" customHeight="1">
      <c r="A66" s="12" t="s">
        <v>248</v>
      </c>
      <c r="B66" s="13" t="s">
        <v>249</v>
      </c>
      <c r="C66" s="7" t="s">
        <v>323</v>
      </c>
      <c r="D66" s="13"/>
      <c r="E66" s="13"/>
      <c r="F66" s="14" t="s">
        <v>250</v>
      </c>
      <c r="G66" s="15" t="s">
        <v>18</v>
      </c>
      <c r="H66" s="16">
        <v>46154</v>
      </c>
      <c r="I66" s="14"/>
      <c r="J66" s="13" t="s">
        <v>120</v>
      </c>
      <c r="K66" s="13" t="s">
        <v>251</v>
      </c>
      <c r="L66" s="17" t="s">
        <v>252</v>
      </c>
    </row>
    <row r="67" spans="1:12" ht="97.95" customHeight="1">
      <c r="A67" s="5" t="s">
        <v>253</v>
      </c>
      <c r="B67" s="6" t="s">
        <v>254</v>
      </c>
      <c r="C67" s="7" t="s">
        <v>323</v>
      </c>
      <c r="D67" s="6"/>
      <c r="E67" s="6"/>
      <c r="F67" s="8" t="s">
        <v>255</v>
      </c>
      <c r="G67" s="9" t="s">
        <v>256</v>
      </c>
      <c r="H67" s="10">
        <v>46178</v>
      </c>
      <c r="I67" s="8"/>
      <c r="J67" s="6" t="s">
        <v>120</v>
      </c>
      <c r="K67" s="6" t="s">
        <v>251</v>
      </c>
      <c r="L67" s="11" t="s">
        <v>257</v>
      </c>
    </row>
    <row r="68" spans="1:12" ht="97.95" customHeight="1">
      <c r="A68" s="12" t="s">
        <v>258</v>
      </c>
      <c r="B68" s="13" t="s">
        <v>259</v>
      </c>
      <c r="C68" s="7" t="s">
        <v>323</v>
      </c>
      <c r="D68" s="13"/>
      <c r="E68" s="13"/>
      <c r="F68" s="14" t="s">
        <v>260</v>
      </c>
      <c r="G68" s="15" t="s">
        <v>18</v>
      </c>
      <c r="H68" s="16">
        <v>46178</v>
      </c>
      <c r="I68" s="14"/>
      <c r="J68" s="13" t="s">
        <v>120</v>
      </c>
      <c r="K68" s="13" t="s">
        <v>251</v>
      </c>
      <c r="L68" s="17" t="s">
        <v>261</v>
      </c>
    </row>
    <row r="69" spans="1:12" ht="97.95" customHeight="1">
      <c r="A69" s="5" t="s">
        <v>262</v>
      </c>
      <c r="B69" s="6" t="s">
        <v>263</v>
      </c>
      <c r="C69" s="7" t="s">
        <v>323</v>
      </c>
      <c r="D69" s="6"/>
      <c r="E69" s="6"/>
      <c r="F69" s="8" t="s">
        <v>264</v>
      </c>
      <c r="G69" s="9" t="s">
        <v>18</v>
      </c>
      <c r="H69" s="10">
        <v>46178</v>
      </c>
      <c r="I69" s="8"/>
      <c r="J69" s="6" t="s">
        <v>120</v>
      </c>
      <c r="K69" s="6" t="s">
        <v>251</v>
      </c>
      <c r="L69" s="11" t="s">
        <v>265</v>
      </c>
    </row>
    <row r="70" spans="1:12" ht="97.95" customHeight="1">
      <c r="A70" s="12" t="s">
        <v>266</v>
      </c>
      <c r="B70" s="13" t="s">
        <v>176</v>
      </c>
      <c r="C70" s="7" t="s">
        <v>323</v>
      </c>
      <c r="D70" s="13"/>
      <c r="E70" s="13"/>
      <c r="F70" s="14" t="s">
        <v>267</v>
      </c>
      <c r="G70" s="15" t="s">
        <v>268</v>
      </c>
      <c r="H70" s="16">
        <v>46155</v>
      </c>
      <c r="I70" s="14"/>
      <c r="J70" s="13" t="s">
        <v>120</v>
      </c>
      <c r="K70" s="13" t="s">
        <v>269</v>
      </c>
      <c r="L70" s="17" t="s">
        <v>270</v>
      </c>
    </row>
    <row r="71" spans="1:12" ht="97.95" customHeight="1">
      <c r="A71" s="5" t="s">
        <v>271</v>
      </c>
      <c r="B71" s="6" t="s">
        <v>176</v>
      </c>
      <c r="C71" s="7" t="s">
        <v>323</v>
      </c>
      <c r="D71" s="6"/>
      <c r="E71" s="6"/>
      <c r="F71" s="8" t="s">
        <v>272</v>
      </c>
      <c r="G71" s="9" t="s">
        <v>273</v>
      </c>
      <c r="H71" s="10">
        <v>46161</v>
      </c>
      <c r="I71" s="8"/>
      <c r="J71" s="6" t="s">
        <v>120</v>
      </c>
      <c r="K71" s="6" t="s">
        <v>269</v>
      </c>
      <c r="L71" s="11" t="s">
        <v>274</v>
      </c>
    </row>
    <row r="72" spans="1:12" ht="97.95" customHeight="1">
      <c r="A72" s="12" t="s">
        <v>275</v>
      </c>
      <c r="B72" s="13" t="s">
        <v>276</v>
      </c>
      <c r="C72" s="7" t="s">
        <v>324</v>
      </c>
      <c r="D72" s="13"/>
      <c r="E72" s="13"/>
      <c r="F72" s="14" t="s">
        <v>277</v>
      </c>
      <c r="G72" s="15" t="s">
        <v>18</v>
      </c>
      <c r="H72" s="16">
        <v>46128</v>
      </c>
      <c r="I72" s="14"/>
      <c r="J72" s="13" t="s">
        <v>278</v>
      </c>
      <c r="K72" s="13" t="s">
        <v>279</v>
      </c>
      <c r="L72" s="17" t="s">
        <v>280</v>
      </c>
    </row>
    <row r="73" spans="1:12" ht="97.95" customHeight="1">
      <c r="A73" s="12" t="s">
        <v>275</v>
      </c>
      <c r="B73" s="13" t="s">
        <v>281</v>
      </c>
      <c r="C73" s="7" t="s">
        <v>324</v>
      </c>
      <c r="D73" s="13"/>
      <c r="E73" s="13"/>
      <c r="F73" s="14" t="s">
        <v>282</v>
      </c>
      <c r="G73" s="15" t="s">
        <v>135</v>
      </c>
      <c r="H73" s="16">
        <v>46135</v>
      </c>
      <c r="I73" s="14"/>
      <c r="J73" s="13" t="s">
        <v>278</v>
      </c>
      <c r="K73" s="13" t="s">
        <v>279</v>
      </c>
      <c r="L73" s="17" t="s">
        <v>283</v>
      </c>
    </row>
    <row r="74" spans="1:12" ht="97.95" customHeight="1">
      <c r="A74" s="5" t="s">
        <v>284</v>
      </c>
      <c r="B74" s="6" t="s">
        <v>285</v>
      </c>
      <c r="C74" s="7" t="s">
        <v>324</v>
      </c>
      <c r="D74" s="6"/>
      <c r="E74" s="6"/>
      <c r="F74" s="8" t="s">
        <v>286</v>
      </c>
      <c r="G74" s="9" t="s">
        <v>287</v>
      </c>
      <c r="H74" s="10">
        <v>46140</v>
      </c>
      <c r="I74" s="8"/>
      <c r="J74" s="6" t="s">
        <v>120</v>
      </c>
      <c r="K74" s="6" t="s">
        <v>279</v>
      </c>
      <c r="L74" s="11" t="s">
        <v>288</v>
      </c>
    </row>
    <row r="75" spans="1:12" ht="97.95" customHeight="1">
      <c r="A75" s="12" t="s">
        <v>289</v>
      </c>
      <c r="B75" s="13" t="s">
        <v>290</v>
      </c>
      <c r="C75" s="7" t="s">
        <v>324</v>
      </c>
      <c r="D75" s="13"/>
      <c r="E75" s="13"/>
      <c r="F75" s="14" t="s">
        <v>291</v>
      </c>
      <c r="G75" s="15" t="s">
        <v>18</v>
      </c>
      <c r="H75" s="16">
        <v>46161</v>
      </c>
      <c r="I75" s="14"/>
      <c r="J75" s="13" t="s">
        <v>292</v>
      </c>
      <c r="K75" s="13" t="s">
        <v>279</v>
      </c>
      <c r="L75" s="17" t="s">
        <v>293</v>
      </c>
    </row>
    <row r="76" spans="1:12" ht="97.95" customHeight="1">
      <c r="A76" s="12" t="s">
        <v>289</v>
      </c>
      <c r="B76" s="13" t="s">
        <v>294</v>
      </c>
      <c r="C76" s="7" t="s">
        <v>324</v>
      </c>
      <c r="D76" s="13"/>
      <c r="E76" s="13"/>
      <c r="F76" s="14" t="s">
        <v>295</v>
      </c>
      <c r="G76" s="15" t="s">
        <v>18</v>
      </c>
      <c r="H76" s="16">
        <v>46161</v>
      </c>
      <c r="I76" s="14"/>
      <c r="J76" s="13" t="s">
        <v>292</v>
      </c>
      <c r="K76" s="13" t="s">
        <v>279</v>
      </c>
      <c r="L76" s="17" t="s">
        <v>296</v>
      </c>
    </row>
    <row r="77" spans="1:12" ht="97.95" customHeight="1">
      <c r="A77" s="12" t="s">
        <v>289</v>
      </c>
      <c r="B77" s="13" t="s">
        <v>297</v>
      </c>
      <c r="C77" s="7" t="s">
        <v>324</v>
      </c>
      <c r="D77" s="13"/>
      <c r="E77" s="13"/>
      <c r="F77" s="14" t="s">
        <v>298</v>
      </c>
      <c r="G77" s="15" t="s">
        <v>18</v>
      </c>
      <c r="H77" s="16">
        <v>46144</v>
      </c>
      <c r="I77" s="14"/>
      <c r="J77" s="13" t="s">
        <v>292</v>
      </c>
      <c r="K77" s="13" t="s">
        <v>279</v>
      </c>
      <c r="L77" s="17" t="s">
        <v>299</v>
      </c>
    </row>
    <row r="78" spans="1:12" ht="97.95" customHeight="1">
      <c r="A78" s="12" t="s">
        <v>289</v>
      </c>
      <c r="B78" s="13" t="s">
        <v>300</v>
      </c>
      <c r="C78" s="7" t="s">
        <v>324</v>
      </c>
      <c r="D78" s="13"/>
      <c r="E78" s="13"/>
      <c r="F78" s="14" t="s">
        <v>301</v>
      </c>
      <c r="G78" s="15" t="s">
        <v>18</v>
      </c>
      <c r="H78" s="16">
        <v>46144</v>
      </c>
      <c r="I78" s="14"/>
      <c r="J78" s="13" t="s">
        <v>292</v>
      </c>
      <c r="K78" s="13" t="s">
        <v>279</v>
      </c>
      <c r="L78" s="17" t="s">
        <v>302</v>
      </c>
    </row>
    <row r="79" spans="1:12" ht="97.95" customHeight="1">
      <c r="A79" s="12" t="s">
        <v>289</v>
      </c>
      <c r="B79" s="13" t="s">
        <v>303</v>
      </c>
      <c r="C79" s="7" t="s">
        <v>324</v>
      </c>
      <c r="D79" s="13"/>
      <c r="E79" s="13"/>
      <c r="F79" s="14" t="s">
        <v>304</v>
      </c>
      <c r="G79" s="15" t="s">
        <v>125</v>
      </c>
      <c r="H79" s="16">
        <v>46149</v>
      </c>
      <c r="I79" s="14"/>
      <c r="J79" s="13" t="s">
        <v>278</v>
      </c>
      <c r="K79" s="13" t="s">
        <v>279</v>
      </c>
      <c r="L79" s="17" t="s">
        <v>305</v>
      </c>
    </row>
    <row r="80" spans="1:12" ht="97.95" customHeight="1">
      <c r="A80" s="12" t="s">
        <v>289</v>
      </c>
      <c r="B80" s="13" t="s">
        <v>306</v>
      </c>
      <c r="C80" s="7" t="s">
        <v>324</v>
      </c>
      <c r="D80" s="13"/>
      <c r="E80" s="13"/>
      <c r="F80" s="14" t="s">
        <v>307</v>
      </c>
      <c r="G80" s="15" t="s">
        <v>18</v>
      </c>
      <c r="H80" s="16">
        <v>46178</v>
      </c>
      <c r="I80" s="14"/>
      <c r="J80" s="13" t="s">
        <v>292</v>
      </c>
      <c r="K80" s="13" t="s">
        <v>279</v>
      </c>
      <c r="L80" s="17" t="s">
        <v>308</v>
      </c>
    </row>
    <row r="81" spans="1:12" ht="97.95" customHeight="1">
      <c r="A81" s="12" t="s">
        <v>289</v>
      </c>
      <c r="B81" s="13" t="s">
        <v>309</v>
      </c>
      <c r="C81" s="7" t="s">
        <v>324</v>
      </c>
      <c r="D81" s="13"/>
      <c r="E81" s="13"/>
      <c r="F81" s="14" t="s">
        <v>310</v>
      </c>
      <c r="G81" s="15" t="s">
        <v>18</v>
      </c>
      <c r="H81" s="16">
        <v>46161</v>
      </c>
      <c r="I81" s="14"/>
      <c r="J81" s="13" t="s">
        <v>292</v>
      </c>
      <c r="K81" s="13" t="s">
        <v>279</v>
      </c>
      <c r="L81" s="17" t="s">
        <v>311</v>
      </c>
    </row>
    <row r="82" spans="1:12" ht="97.95" customHeight="1">
      <c r="A82" s="12" t="s">
        <v>289</v>
      </c>
      <c r="B82" s="13" t="s">
        <v>312</v>
      </c>
      <c r="C82" s="7" t="s">
        <v>324</v>
      </c>
      <c r="D82" s="13"/>
      <c r="E82" s="13"/>
      <c r="F82" s="14" t="s">
        <v>313</v>
      </c>
      <c r="G82" s="15" t="s">
        <v>18</v>
      </c>
      <c r="H82" s="16">
        <v>46081</v>
      </c>
      <c r="I82" s="14"/>
      <c r="J82" s="13" t="s">
        <v>314</v>
      </c>
      <c r="K82" s="13" t="s">
        <v>279</v>
      </c>
      <c r="L82" s="17" t="s">
        <v>315</v>
      </c>
    </row>
  </sheetData>
  <autoFilter ref="A4:L82" xr:uid="{00000000-0009-0000-0000-000000000000}"/>
  <conditionalFormatting sqref="A24:L82 A5:L22">
    <cfRule type="expression" dxfId="6" priority="1">
      <formula>$C5="Used"</formula>
    </cfRule>
    <cfRule type="expression" dxfId="5" priority="2">
      <formula>$C5="Not used"</formula>
    </cfRule>
  </conditionalFormatting>
  <conditionalFormatting sqref="C22">
    <cfRule type="expression" dxfId="4" priority="7">
      <formula>$C24="Used"</formula>
    </cfRule>
    <cfRule type="expression" dxfId="3" priority="8">
      <formula>$C24="Not used"</formula>
    </cfRule>
  </conditionalFormatting>
  <conditionalFormatting sqref="A23:B23 D23:L23">
    <cfRule type="expression" dxfId="2" priority="9">
      <formula>#REF!="Used"</formula>
    </cfRule>
    <cfRule type="expression" dxfId="1" priority="10">
      <formula>#REF!="Not used"</formula>
    </cfRule>
  </conditionalFormatting>
  <dataValidations count="1">
    <dataValidation type="list" allowBlank="1" showInputMessage="1" showErrorMessage="1" errorTitle="Pick from the list" error="Choose Used or Not used (or clear the cell)." promptTitle="Used in the final machine?" prompt="Pick Used or Not used. Leave blank if you haven't decided." sqref="C5:C22 C24:C82" xr:uid="{00000000-0002-0000-0000-000000000000}">
      <formula1>"Used,Not used"</formula1>
    </dataValidation>
  </dataValidation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pane ySplit="10" topLeftCell="A11" activePane="bottomLeft" state="frozen"/>
      <selection pane="bottomLeft"/>
    </sheetView>
  </sheetViews>
  <sheetFormatPr defaultRowHeight="14.4"/>
  <cols>
    <col min="1" max="2" width="30" customWidth="1"/>
    <col min="3" max="5" width="11" customWidth="1"/>
    <col min="6" max="6" width="13" customWidth="1"/>
  </cols>
  <sheetData>
    <row r="1" spans="1:6" ht="17.399999999999999">
      <c r="A1" s="1" t="s">
        <v>316</v>
      </c>
    </row>
    <row r="3" spans="1:6">
      <c r="A3" s="18" t="s">
        <v>317</v>
      </c>
      <c r="B3" s="19">
        <f>COUNTA(Parts!$A$5:$A$82)</f>
        <v>78</v>
      </c>
    </row>
    <row r="4" spans="1:6">
      <c r="A4" s="18" t="s">
        <v>318</v>
      </c>
      <c r="B4" s="19">
        <f>COUNTIF(Parts!$C$5:$C$82,"Used")</f>
        <v>32</v>
      </c>
    </row>
    <row r="5" spans="1:6">
      <c r="A5" s="18" t="s">
        <v>319</v>
      </c>
      <c r="B5" s="19">
        <f>COUNTIF(Parts!$C$5:$C$82,"Not used")</f>
        <v>36</v>
      </c>
    </row>
    <row r="6" spans="1:6">
      <c r="A6" s="18" t="s">
        <v>320</v>
      </c>
      <c r="B6" s="19">
        <f>B3-B4-B5</f>
        <v>10</v>
      </c>
    </row>
    <row r="7" spans="1:6">
      <c r="A7" s="18" t="s">
        <v>321</v>
      </c>
      <c r="B7" s="20">
        <f>IF(B3=0,0,(B4+B5)/B3)</f>
        <v>0.87179487179487181</v>
      </c>
    </row>
    <row r="10" spans="1:6">
      <c r="A10" s="4" t="s">
        <v>13</v>
      </c>
      <c r="B10" s="4" t="s">
        <v>3</v>
      </c>
      <c r="C10" s="4" t="s">
        <v>322</v>
      </c>
      <c r="D10" s="4" t="s">
        <v>323</v>
      </c>
      <c r="E10" s="4" t="s">
        <v>324</v>
      </c>
      <c r="F10" s="4" t="s">
        <v>325</v>
      </c>
    </row>
    <row r="11" spans="1:6">
      <c r="A11" s="21" t="s">
        <v>20</v>
      </c>
      <c r="B11" s="21" t="s">
        <v>15</v>
      </c>
      <c r="C11" s="22">
        <f>COUNTIF(Parts!$A$5:$A$82,B11)</f>
        <v>1</v>
      </c>
      <c r="D11" s="22">
        <f>COUNTIFS(Parts!$A$5:$A$82,B11,Parts!$C$5:$C$82,"Used")</f>
        <v>0</v>
      </c>
      <c r="E11" s="22">
        <f>COUNTIFS(Parts!$A$5:$A$82,B11,Parts!$C$5:$C$82,"Not used")</f>
        <v>1</v>
      </c>
      <c r="F11" s="22">
        <f t="shared" ref="F11:F50" si="0">C11-D11-E11</f>
        <v>0</v>
      </c>
    </row>
    <row r="12" spans="1:6">
      <c r="A12" s="21" t="s">
        <v>20</v>
      </c>
      <c r="B12" s="21" t="s">
        <v>22</v>
      </c>
      <c r="C12" s="22">
        <f>COUNTIF(Parts!$A$5:$A$82,B12)</f>
        <v>1</v>
      </c>
      <c r="D12" s="22">
        <f>COUNTIFS(Parts!$A$5:$A$82,B12,Parts!$C$5:$C$82,"Used")</f>
        <v>0</v>
      </c>
      <c r="E12" s="22">
        <f>COUNTIFS(Parts!$A$5:$A$82,B12,Parts!$C$5:$C$82,"Not used")</f>
        <v>1</v>
      </c>
      <c r="F12" s="22">
        <f t="shared" si="0"/>
        <v>0</v>
      </c>
    </row>
    <row r="13" spans="1:6">
      <c r="A13" s="21" t="s">
        <v>20</v>
      </c>
      <c r="B13" s="21" t="s">
        <v>26</v>
      </c>
      <c r="C13" s="22">
        <f>COUNTIF(Parts!$A$5:$A$82,B13)</f>
        <v>1</v>
      </c>
      <c r="D13" s="22">
        <f>COUNTIFS(Parts!$A$5:$A$82,B13,Parts!$C$5:$C$82,"Used")</f>
        <v>1</v>
      </c>
      <c r="E13" s="22">
        <f>COUNTIFS(Parts!$A$5:$A$82,B13,Parts!$C$5:$C$82,"Not used")</f>
        <v>0</v>
      </c>
      <c r="F13" s="22">
        <f t="shared" si="0"/>
        <v>0</v>
      </c>
    </row>
    <row r="14" spans="1:6">
      <c r="A14" s="21" t="s">
        <v>20</v>
      </c>
      <c r="B14" s="21" t="s">
        <v>31</v>
      </c>
      <c r="C14" s="22">
        <f>COUNTIF(Parts!$A$5:$A$82,B14)</f>
        <v>2</v>
      </c>
      <c r="D14" s="22">
        <f>COUNTIFS(Parts!$A$5:$A$82,B14,Parts!$C$5:$C$82,"Used")</f>
        <v>0</v>
      </c>
      <c r="E14" s="22">
        <f>COUNTIFS(Parts!$A$5:$A$82,B14,Parts!$C$5:$C$82,"Not used")</f>
        <v>2</v>
      </c>
      <c r="F14" s="22">
        <f t="shared" si="0"/>
        <v>0</v>
      </c>
    </row>
    <row r="15" spans="1:6">
      <c r="A15" s="21" t="s">
        <v>20</v>
      </c>
      <c r="B15" s="21" t="s">
        <v>39</v>
      </c>
      <c r="C15" s="22">
        <f>COUNTIF(Parts!$A$5:$A$82,B15)</f>
        <v>5</v>
      </c>
      <c r="D15" s="22">
        <f>COUNTIFS(Parts!$A$5:$A$82,B15,Parts!$C$5:$C$82,"Used")</f>
        <v>1</v>
      </c>
      <c r="E15" s="22">
        <f>COUNTIFS(Parts!$A$5:$A$82,B15,Parts!$C$5:$C$82,"Not used")</f>
        <v>3</v>
      </c>
      <c r="F15" s="22">
        <f t="shared" si="0"/>
        <v>1</v>
      </c>
    </row>
    <row r="16" spans="1:6">
      <c r="A16" s="21" t="s">
        <v>20</v>
      </c>
      <c r="B16" s="21" t="s">
        <v>58</v>
      </c>
      <c r="C16" s="22">
        <f>COUNTIF(Parts!$A$5:$A$82,B16)</f>
        <v>1</v>
      </c>
      <c r="D16" s="22">
        <f>COUNTIFS(Parts!$A$5:$A$82,B16,Parts!$C$5:$C$82,"Used")</f>
        <v>0</v>
      </c>
      <c r="E16" s="22">
        <f>COUNTIFS(Parts!$A$5:$A$82,B16,Parts!$C$5:$C$82,"Not used")</f>
        <v>0</v>
      </c>
      <c r="F16" s="22">
        <f t="shared" si="0"/>
        <v>1</v>
      </c>
    </row>
    <row r="17" spans="1:6">
      <c r="A17" s="21" t="s">
        <v>66</v>
      </c>
      <c r="B17" s="21" t="s">
        <v>62</v>
      </c>
      <c r="C17" s="22">
        <f>COUNTIF(Parts!$A$5:$A$82,B17)</f>
        <v>1</v>
      </c>
      <c r="D17" s="22">
        <f>COUNTIFS(Parts!$A$5:$A$82,B17,Parts!$C$5:$C$82,"Used")</f>
        <v>1</v>
      </c>
      <c r="E17" s="22">
        <f>COUNTIFS(Parts!$A$5:$A$82,B17,Parts!$C$5:$C$82,"Not used")</f>
        <v>0</v>
      </c>
      <c r="F17" s="22">
        <f t="shared" si="0"/>
        <v>0</v>
      </c>
    </row>
    <row r="18" spans="1:6">
      <c r="A18" s="21" t="s">
        <v>66</v>
      </c>
      <c r="B18" s="21" t="s">
        <v>68</v>
      </c>
      <c r="C18" s="22">
        <f>COUNTIF(Parts!$A$5:$A$82,B18)</f>
        <v>1</v>
      </c>
      <c r="D18" s="22">
        <f>COUNTIFS(Parts!$A$5:$A$82,B18,Parts!$C$5:$C$82,"Used")</f>
        <v>1</v>
      </c>
      <c r="E18" s="22">
        <f>COUNTIFS(Parts!$A$5:$A$82,B18,Parts!$C$5:$C$82,"Not used")</f>
        <v>0</v>
      </c>
      <c r="F18" s="22">
        <f t="shared" si="0"/>
        <v>0</v>
      </c>
    </row>
    <row r="19" spans="1:6">
      <c r="A19" s="21" t="s">
        <v>66</v>
      </c>
      <c r="B19" s="21" t="s">
        <v>72</v>
      </c>
      <c r="C19" s="22">
        <f>COUNTIF(Parts!$A$5:$A$82,B19)</f>
        <v>1</v>
      </c>
      <c r="D19" s="22">
        <f>COUNTIFS(Parts!$A$5:$A$82,B19,Parts!$C$5:$C$82,"Used")</f>
        <v>1</v>
      </c>
      <c r="E19" s="22">
        <f>COUNTIFS(Parts!$A$5:$A$82,B19,Parts!$C$5:$C$82,"Not used")</f>
        <v>0</v>
      </c>
      <c r="F19" s="22">
        <f t="shared" si="0"/>
        <v>0</v>
      </c>
    </row>
    <row r="20" spans="1:6">
      <c r="A20" s="21" t="s">
        <v>66</v>
      </c>
      <c r="B20" s="21" t="s">
        <v>76</v>
      </c>
      <c r="C20" s="22">
        <f>COUNTIF(Parts!$A$5:$A$82,B20)</f>
        <v>1</v>
      </c>
      <c r="D20" s="22">
        <f>COUNTIFS(Parts!$A$5:$A$82,B20,Parts!$C$5:$C$82,"Used")</f>
        <v>1</v>
      </c>
      <c r="E20" s="22">
        <f>COUNTIFS(Parts!$A$5:$A$82,B20,Parts!$C$5:$C$82,"Not used")</f>
        <v>0</v>
      </c>
      <c r="F20" s="22">
        <f t="shared" si="0"/>
        <v>0</v>
      </c>
    </row>
    <row r="21" spans="1:6">
      <c r="A21" s="21" t="s">
        <v>66</v>
      </c>
      <c r="B21" s="21" t="s">
        <v>80</v>
      </c>
      <c r="C21" s="22">
        <f>COUNTIF(Parts!$A$5:$A$82,B21)</f>
        <v>1</v>
      </c>
      <c r="D21" s="22">
        <f>COUNTIFS(Parts!$A$5:$A$82,B21,Parts!$C$5:$C$82,"Used")</f>
        <v>1</v>
      </c>
      <c r="E21" s="22">
        <f>COUNTIFS(Parts!$A$5:$A$82,B21,Parts!$C$5:$C$82,"Not used")</f>
        <v>0</v>
      </c>
      <c r="F21" s="22">
        <f t="shared" si="0"/>
        <v>0</v>
      </c>
    </row>
    <row r="22" spans="1:6">
      <c r="A22" s="21" t="s">
        <v>66</v>
      </c>
      <c r="B22" s="21" t="s">
        <v>84</v>
      </c>
      <c r="C22" s="22">
        <f>COUNTIF(Parts!$A$5:$A$82,B22)</f>
        <v>2</v>
      </c>
      <c r="D22" s="22">
        <f>COUNTIFS(Parts!$A$5:$A$82,B22,Parts!$C$5:$C$82,"Used")</f>
        <v>2</v>
      </c>
      <c r="E22" s="22">
        <f>COUNTIFS(Parts!$A$5:$A$82,B22,Parts!$C$5:$C$82,"Not used")</f>
        <v>0</v>
      </c>
      <c r="F22" s="22">
        <f t="shared" si="0"/>
        <v>0</v>
      </c>
    </row>
    <row r="23" spans="1:6">
      <c r="A23" s="21" t="s">
        <v>66</v>
      </c>
      <c r="B23" s="21" t="s">
        <v>91</v>
      </c>
      <c r="C23" s="22">
        <f>COUNTIF(Parts!$A$5:$A$82,B23)</f>
        <v>1</v>
      </c>
      <c r="D23" s="22">
        <f>COUNTIFS(Parts!$A$5:$A$82,B23,Parts!$C$5:$C$82,"Used")</f>
        <v>0</v>
      </c>
      <c r="E23" s="22">
        <f>COUNTIFS(Parts!$A$5:$A$82,B23,Parts!$C$5:$C$82,"Not used")</f>
        <v>0</v>
      </c>
      <c r="F23" s="22">
        <f t="shared" si="0"/>
        <v>1</v>
      </c>
    </row>
    <row r="24" spans="1:6">
      <c r="A24" s="21" t="s">
        <v>66</v>
      </c>
      <c r="B24" s="21" t="s">
        <v>96</v>
      </c>
      <c r="C24" s="22">
        <f>COUNTIF(Parts!$A$5:$A$82,B24)</f>
        <v>3</v>
      </c>
      <c r="D24" s="22">
        <f>COUNTIFS(Parts!$A$5:$A$82,B24,Parts!$C$5:$C$82,"Used")</f>
        <v>0</v>
      </c>
      <c r="E24" s="22">
        <f>COUNTIFS(Parts!$A$5:$A$82,B24,Parts!$C$5:$C$82,"Not used")</f>
        <v>0</v>
      </c>
      <c r="F24" s="22">
        <f t="shared" si="0"/>
        <v>3</v>
      </c>
    </row>
    <row r="25" spans="1:6">
      <c r="A25" s="21" t="s">
        <v>66</v>
      </c>
      <c r="B25" s="21" t="s">
        <v>106</v>
      </c>
      <c r="C25" s="22">
        <f>COUNTIF(Parts!$A$5:$A$82,B25)</f>
        <v>3</v>
      </c>
      <c r="D25" s="22">
        <f>COUNTIFS(Parts!$A$5:$A$82,B25,Parts!$C$5:$C$82,"Used")</f>
        <v>0</v>
      </c>
      <c r="E25" s="22">
        <f>COUNTIFS(Parts!$A$5:$A$82,B25,Parts!$C$5:$C$82,"Not used")</f>
        <v>0</v>
      </c>
      <c r="F25" s="22">
        <f t="shared" si="0"/>
        <v>3</v>
      </c>
    </row>
    <row r="26" spans="1:6">
      <c r="A26" s="21" t="s">
        <v>121</v>
      </c>
      <c r="B26" s="21" t="s">
        <v>116</v>
      </c>
      <c r="C26" s="22">
        <f>COUNTIF(Parts!$A$5:$A$82,B26)</f>
        <v>5</v>
      </c>
      <c r="D26" s="22">
        <f>COUNTIFS(Parts!$A$5:$A$82,B26,Parts!$C$5:$C$82,"Used")</f>
        <v>1</v>
      </c>
      <c r="E26" s="22">
        <f>COUNTIFS(Parts!$A$5:$A$82,B26,Parts!$C$5:$C$82,"Not used")</f>
        <v>4</v>
      </c>
      <c r="F26" s="22">
        <f t="shared" si="0"/>
        <v>0</v>
      </c>
    </row>
    <row r="27" spans="1:6">
      <c r="A27" s="21" t="s">
        <v>121</v>
      </c>
      <c r="B27" s="21" t="s">
        <v>137</v>
      </c>
      <c r="C27" s="22">
        <f>COUNTIF(Parts!$A$5:$A$82,B27)</f>
        <v>5</v>
      </c>
      <c r="D27" s="22">
        <f>COUNTIFS(Parts!$A$5:$A$82,B27,Parts!$C$5:$C$82,"Used")</f>
        <v>0</v>
      </c>
      <c r="E27" s="22">
        <f>COUNTIFS(Parts!$A$5:$A$82,B27,Parts!$C$5:$C$82,"Not used")</f>
        <v>5</v>
      </c>
      <c r="F27" s="22">
        <f t="shared" si="0"/>
        <v>0</v>
      </c>
    </row>
    <row r="28" spans="1:6">
      <c r="A28" s="21" t="s">
        <v>121</v>
      </c>
      <c r="B28" s="21" t="s">
        <v>154</v>
      </c>
      <c r="C28" s="22">
        <f>COUNTIF(Parts!$A$5:$A$82,B28)</f>
        <v>2</v>
      </c>
      <c r="D28" s="22">
        <f>COUNTIFS(Parts!$A$5:$A$82,B28,Parts!$C$5:$C$82,"Used")</f>
        <v>2</v>
      </c>
      <c r="E28" s="22">
        <f>COUNTIFS(Parts!$A$5:$A$82,B28,Parts!$C$5:$C$82,"Not used")</f>
        <v>0</v>
      </c>
      <c r="F28" s="22">
        <f t="shared" si="0"/>
        <v>0</v>
      </c>
    </row>
    <row r="29" spans="1:6">
      <c r="A29" s="21" t="s">
        <v>121</v>
      </c>
      <c r="B29" s="21" t="s">
        <v>163</v>
      </c>
      <c r="C29" s="22">
        <f>COUNTIF(Parts!$A$5:$A$82,B29)</f>
        <v>1</v>
      </c>
      <c r="D29" s="22">
        <f>COUNTIFS(Parts!$A$5:$A$82,B29,Parts!$C$5:$C$82,"Used")</f>
        <v>1</v>
      </c>
      <c r="E29" s="22">
        <f>COUNTIFS(Parts!$A$5:$A$82,B29,Parts!$C$5:$C$82,"Not used")</f>
        <v>0</v>
      </c>
      <c r="F29" s="22">
        <f t="shared" si="0"/>
        <v>0</v>
      </c>
    </row>
    <row r="30" spans="1:6">
      <c r="A30" s="21" t="s">
        <v>121</v>
      </c>
      <c r="B30" s="21" t="s">
        <v>167</v>
      </c>
      <c r="C30" s="22">
        <f>COUNTIF(Parts!$A$5:$A$82,B30)</f>
        <v>1</v>
      </c>
      <c r="D30" s="22">
        <f>COUNTIFS(Parts!$A$5:$A$82,B30,Parts!$C$5:$C$82,"Used")</f>
        <v>1</v>
      </c>
      <c r="E30" s="22">
        <f>COUNTIFS(Parts!$A$5:$A$82,B30,Parts!$C$5:$C$82,"Not used")</f>
        <v>0</v>
      </c>
      <c r="F30" s="22">
        <f t="shared" si="0"/>
        <v>0</v>
      </c>
    </row>
    <row r="31" spans="1:6">
      <c r="A31" s="21" t="s">
        <v>121</v>
      </c>
      <c r="B31" s="21" t="s">
        <v>171</v>
      </c>
      <c r="C31" s="22">
        <f>COUNTIF(Parts!$A$5:$A$82,B31)</f>
        <v>1</v>
      </c>
      <c r="D31" s="22">
        <f>COUNTIFS(Parts!$A$5:$A$82,B31,Parts!$C$5:$C$82,"Used")</f>
        <v>1</v>
      </c>
      <c r="E31" s="22">
        <f>COUNTIFS(Parts!$A$5:$A$82,B31,Parts!$C$5:$C$82,"Not used")</f>
        <v>0</v>
      </c>
      <c r="F31" s="22">
        <f t="shared" si="0"/>
        <v>0</v>
      </c>
    </row>
    <row r="32" spans="1:6">
      <c r="A32" s="21" t="s">
        <v>178</v>
      </c>
      <c r="B32" s="21" t="s">
        <v>175</v>
      </c>
      <c r="C32" s="22">
        <f>COUNTIF(Parts!$A$5:$A$82,B32)</f>
        <v>5</v>
      </c>
      <c r="D32" s="22">
        <f>COUNTIFS(Parts!$A$5:$A$82,B32,Parts!$C$5:$C$82,"Used")</f>
        <v>4</v>
      </c>
      <c r="E32" s="22">
        <f>COUNTIFS(Parts!$A$5:$A$82,B32,Parts!$C$5:$C$82,"Not used")</f>
        <v>0</v>
      </c>
      <c r="F32" s="22">
        <f t="shared" si="0"/>
        <v>1</v>
      </c>
    </row>
    <row r="33" spans="1:6">
      <c r="A33" s="21" t="s">
        <v>178</v>
      </c>
      <c r="B33" s="21" t="s">
        <v>190</v>
      </c>
      <c r="C33" s="22">
        <f>COUNTIF(Parts!$A$5:$A$82,B33)</f>
        <v>2</v>
      </c>
      <c r="D33" s="22">
        <f>COUNTIFS(Parts!$A$5:$A$82,B33,Parts!$C$5:$C$82,"Used")</f>
        <v>1</v>
      </c>
      <c r="E33" s="22">
        <f>COUNTIFS(Parts!$A$5:$A$82,B33,Parts!$C$5:$C$82,"Not used")</f>
        <v>1</v>
      </c>
      <c r="F33" s="22">
        <f t="shared" si="0"/>
        <v>0</v>
      </c>
    </row>
    <row r="34" spans="1:6">
      <c r="A34" s="21" t="s">
        <v>178</v>
      </c>
      <c r="B34" s="21" t="s">
        <v>196</v>
      </c>
      <c r="C34" s="22">
        <f>COUNTIF(Parts!$A$5:$A$82,B34)</f>
        <v>1</v>
      </c>
      <c r="D34" s="22">
        <f>COUNTIFS(Parts!$A$5:$A$82,B34,Parts!$C$5:$C$82,"Used")</f>
        <v>1</v>
      </c>
      <c r="E34" s="22">
        <f>COUNTIFS(Parts!$A$5:$A$82,B34,Parts!$C$5:$C$82,"Not used")</f>
        <v>0</v>
      </c>
      <c r="F34" s="22">
        <f t="shared" si="0"/>
        <v>0</v>
      </c>
    </row>
    <row r="35" spans="1:6">
      <c r="A35" s="21" t="s">
        <v>178</v>
      </c>
      <c r="B35" s="21" t="s">
        <v>200</v>
      </c>
      <c r="C35" s="22">
        <f>COUNTIF(Parts!$A$5:$A$82,B35)</f>
        <v>1</v>
      </c>
      <c r="D35" s="22">
        <f>COUNTIFS(Parts!$A$5:$A$82,B35,Parts!$C$5:$C$82,"Used")</f>
        <v>1</v>
      </c>
      <c r="E35" s="22">
        <f>COUNTIFS(Parts!$A$5:$A$82,B35,Parts!$C$5:$C$82,"Not used")</f>
        <v>0</v>
      </c>
      <c r="F35" s="22">
        <f t="shared" si="0"/>
        <v>0</v>
      </c>
    </row>
    <row r="36" spans="1:6">
      <c r="A36" s="21" t="s">
        <v>178</v>
      </c>
      <c r="B36" s="21" t="s">
        <v>204</v>
      </c>
      <c r="C36" s="22">
        <f>COUNTIF(Parts!$A$5:$A$82,B36)</f>
        <v>2</v>
      </c>
      <c r="D36" s="22">
        <f>COUNTIFS(Parts!$A$5:$A$82,B36,Parts!$C$5:$C$82,"Used")</f>
        <v>0</v>
      </c>
      <c r="E36" s="22">
        <f>COUNTIFS(Parts!$A$5:$A$82,B36,Parts!$C$5:$C$82,"Not used")</f>
        <v>2</v>
      </c>
      <c r="F36" s="22">
        <f t="shared" si="0"/>
        <v>0</v>
      </c>
    </row>
    <row r="37" spans="1:6">
      <c r="A37" s="21" t="s">
        <v>213</v>
      </c>
      <c r="B37" s="21" t="s">
        <v>209</v>
      </c>
      <c r="C37" s="22">
        <f>COUNTIF(Parts!$A$5:$A$82,B37)</f>
        <v>1</v>
      </c>
      <c r="D37" s="22">
        <f>COUNTIFS(Parts!$A$5:$A$82,B37,Parts!$C$5:$C$82,"Used")</f>
        <v>1</v>
      </c>
      <c r="E37" s="22">
        <f>COUNTIFS(Parts!$A$5:$A$82,B37,Parts!$C$5:$C$82,"Not used")</f>
        <v>0</v>
      </c>
      <c r="F37" s="22">
        <f t="shared" si="0"/>
        <v>0</v>
      </c>
    </row>
    <row r="38" spans="1:6">
      <c r="A38" s="21" t="s">
        <v>213</v>
      </c>
      <c r="B38" s="21" t="s">
        <v>215</v>
      </c>
      <c r="C38" s="22">
        <f>COUNTIF(Parts!$A$5:$A$82,B38)</f>
        <v>3</v>
      </c>
      <c r="D38" s="22">
        <f>COUNTIFS(Parts!$A$5:$A$82,B38,Parts!$C$5:$C$82,"Used")</f>
        <v>0</v>
      </c>
      <c r="E38" s="22">
        <f>COUNTIFS(Parts!$A$5:$A$82,B38,Parts!$C$5:$C$82,"Not used")</f>
        <v>3</v>
      </c>
      <c r="F38" s="22">
        <f t="shared" si="0"/>
        <v>0</v>
      </c>
    </row>
    <row r="39" spans="1:6">
      <c r="A39" s="21" t="s">
        <v>213</v>
      </c>
      <c r="B39" s="21" t="s">
        <v>224</v>
      </c>
      <c r="C39" s="22">
        <f>COUNTIF(Parts!$A$5:$A$82,B39)</f>
        <v>4</v>
      </c>
      <c r="D39" s="22">
        <f>COUNTIFS(Parts!$A$5:$A$82,B39,Parts!$C$5:$C$82,"Used")</f>
        <v>1</v>
      </c>
      <c r="E39" s="22">
        <f>COUNTIFS(Parts!$A$5:$A$82,B39,Parts!$C$5:$C$82,"Not used")</f>
        <v>3</v>
      </c>
      <c r="F39" s="22">
        <f t="shared" si="0"/>
        <v>0</v>
      </c>
    </row>
    <row r="40" spans="1:6">
      <c r="A40" s="21" t="s">
        <v>213</v>
      </c>
      <c r="B40" s="21" t="s">
        <v>238</v>
      </c>
      <c r="C40" s="22">
        <f>COUNTIF(Parts!$A$5:$A$82,B40)</f>
        <v>1</v>
      </c>
      <c r="D40" s="22">
        <f>COUNTIFS(Parts!$A$5:$A$82,B40,Parts!$C$5:$C$82,"Used")</f>
        <v>1</v>
      </c>
      <c r="E40" s="22">
        <f>COUNTIFS(Parts!$A$5:$A$82,B40,Parts!$C$5:$C$82,"Not used")</f>
        <v>0</v>
      </c>
      <c r="F40" s="22">
        <f t="shared" si="0"/>
        <v>0</v>
      </c>
    </row>
    <row r="41" spans="1:6">
      <c r="A41" s="21" t="s">
        <v>213</v>
      </c>
      <c r="B41" s="21" t="s">
        <v>243</v>
      </c>
      <c r="C41" s="22">
        <f>COUNTIF(Parts!$A$5:$A$82,B41)</f>
        <v>1</v>
      </c>
      <c r="D41" s="22">
        <f>COUNTIFS(Parts!$A$5:$A$82,B41,Parts!$C$5:$C$82,"Used")</f>
        <v>1</v>
      </c>
      <c r="E41" s="22">
        <f>COUNTIFS(Parts!$A$5:$A$82,B41,Parts!$C$5:$C$82,"Not used")</f>
        <v>0</v>
      </c>
      <c r="F41" s="22">
        <f t="shared" si="0"/>
        <v>0</v>
      </c>
    </row>
    <row r="42" spans="1:6">
      <c r="A42" s="21" t="s">
        <v>251</v>
      </c>
      <c r="B42" s="21" t="s">
        <v>248</v>
      </c>
      <c r="C42" s="22">
        <f>COUNTIF(Parts!$A$5:$A$82,B42)</f>
        <v>1</v>
      </c>
      <c r="D42" s="22">
        <f>COUNTIFS(Parts!$A$5:$A$82,B42,Parts!$C$5:$C$82,"Used")</f>
        <v>1</v>
      </c>
      <c r="E42" s="22">
        <f>COUNTIFS(Parts!$A$5:$A$82,B42,Parts!$C$5:$C$82,"Not used")</f>
        <v>0</v>
      </c>
      <c r="F42" s="22">
        <f t="shared" si="0"/>
        <v>0</v>
      </c>
    </row>
    <row r="43" spans="1:6">
      <c r="A43" s="21" t="s">
        <v>251</v>
      </c>
      <c r="B43" s="21" t="s">
        <v>253</v>
      </c>
      <c r="C43" s="22">
        <f>COUNTIF(Parts!$A$5:$A$82,B43)</f>
        <v>1</v>
      </c>
      <c r="D43" s="22">
        <f>COUNTIFS(Parts!$A$5:$A$82,B43,Parts!$C$5:$C$82,"Used")</f>
        <v>1</v>
      </c>
      <c r="E43" s="22">
        <f>COUNTIFS(Parts!$A$5:$A$82,B43,Parts!$C$5:$C$82,"Not used")</f>
        <v>0</v>
      </c>
      <c r="F43" s="22">
        <f t="shared" si="0"/>
        <v>0</v>
      </c>
    </row>
    <row r="44" spans="1:6">
      <c r="A44" s="21" t="s">
        <v>251</v>
      </c>
      <c r="B44" s="21" t="s">
        <v>258</v>
      </c>
      <c r="C44" s="22">
        <f>COUNTIF(Parts!$A$5:$A$82,B44)</f>
        <v>1</v>
      </c>
      <c r="D44" s="22">
        <f>COUNTIFS(Parts!$A$5:$A$82,B44,Parts!$C$5:$C$82,"Used")</f>
        <v>1</v>
      </c>
      <c r="E44" s="22">
        <f>COUNTIFS(Parts!$A$5:$A$82,B44,Parts!$C$5:$C$82,"Not used")</f>
        <v>0</v>
      </c>
      <c r="F44" s="22">
        <f t="shared" si="0"/>
        <v>0</v>
      </c>
    </row>
    <row r="45" spans="1:6">
      <c r="A45" s="21" t="s">
        <v>251</v>
      </c>
      <c r="B45" s="21" t="s">
        <v>262</v>
      </c>
      <c r="C45" s="22">
        <f>COUNTIF(Parts!$A$5:$A$82,B45)</f>
        <v>1</v>
      </c>
      <c r="D45" s="22">
        <f>COUNTIFS(Parts!$A$5:$A$82,B45,Parts!$C$5:$C$82,"Used")</f>
        <v>1</v>
      </c>
      <c r="E45" s="22">
        <f>COUNTIFS(Parts!$A$5:$A$82,B45,Parts!$C$5:$C$82,"Not used")</f>
        <v>0</v>
      </c>
      <c r="F45" s="22">
        <f t="shared" si="0"/>
        <v>0</v>
      </c>
    </row>
    <row r="46" spans="1:6">
      <c r="A46" s="21" t="s">
        <v>269</v>
      </c>
      <c r="B46" s="21" t="s">
        <v>266</v>
      </c>
      <c r="C46" s="22">
        <f>COUNTIF(Parts!$A$5:$A$82,B46)</f>
        <v>1</v>
      </c>
      <c r="D46" s="22">
        <f>COUNTIFS(Parts!$A$5:$A$82,B46,Parts!$C$5:$C$82,"Used")</f>
        <v>1</v>
      </c>
      <c r="E46" s="22">
        <f>COUNTIFS(Parts!$A$5:$A$82,B46,Parts!$C$5:$C$82,"Not used")</f>
        <v>0</v>
      </c>
      <c r="F46" s="22">
        <f t="shared" si="0"/>
        <v>0</v>
      </c>
    </row>
    <row r="47" spans="1:6">
      <c r="A47" s="21" t="s">
        <v>269</v>
      </c>
      <c r="B47" s="21" t="s">
        <v>271</v>
      </c>
      <c r="C47" s="22">
        <f>COUNTIF(Parts!$A$5:$A$82,B47)</f>
        <v>1</v>
      </c>
      <c r="D47" s="22">
        <f>COUNTIFS(Parts!$A$5:$A$82,B47,Parts!$C$5:$C$82,"Used")</f>
        <v>1</v>
      </c>
      <c r="E47" s="22">
        <f>COUNTIFS(Parts!$A$5:$A$82,B47,Parts!$C$5:$C$82,"Not used")</f>
        <v>0</v>
      </c>
      <c r="F47" s="22">
        <f t="shared" si="0"/>
        <v>0</v>
      </c>
    </row>
    <row r="48" spans="1:6">
      <c r="A48" s="21" t="s">
        <v>279</v>
      </c>
      <c r="B48" s="21" t="s">
        <v>275</v>
      </c>
      <c r="C48" s="22">
        <f>COUNTIF(Parts!$A$5:$A$82,B48)</f>
        <v>2</v>
      </c>
      <c r="D48" s="22">
        <f>COUNTIFS(Parts!$A$5:$A$82,B48,Parts!$C$5:$C$82,"Used")</f>
        <v>0</v>
      </c>
      <c r="E48" s="22">
        <f>COUNTIFS(Parts!$A$5:$A$82,B48,Parts!$C$5:$C$82,"Not used")</f>
        <v>2</v>
      </c>
      <c r="F48" s="22">
        <f t="shared" si="0"/>
        <v>0</v>
      </c>
    </row>
    <row r="49" spans="1:6">
      <c r="A49" s="21" t="s">
        <v>279</v>
      </c>
      <c r="B49" s="21" t="s">
        <v>284</v>
      </c>
      <c r="C49" s="22">
        <f>COUNTIF(Parts!$A$5:$A$82,B49)</f>
        <v>1</v>
      </c>
      <c r="D49" s="22">
        <f>COUNTIFS(Parts!$A$5:$A$82,B49,Parts!$C$5:$C$82,"Used")</f>
        <v>0</v>
      </c>
      <c r="E49" s="22">
        <f>COUNTIFS(Parts!$A$5:$A$82,B49,Parts!$C$5:$C$82,"Not used")</f>
        <v>1</v>
      </c>
      <c r="F49" s="22">
        <f t="shared" si="0"/>
        <v>0</v>
      </c>
    </row>
    <row r="50" spans="1:6">
      <c r="A50" s="21" t="s">
        <v>279</v>
      </c>
      <c r="B50" s="21" t="s">
        <v>289</v>
      </c>
      <c r="C50" s="22">
        <f>COUNTIF(Parts!$A$5:$A$82,B50)</f>
        <v>8</v>
      </c>
      <c r="D50" s="22">
        <f>COUNTIFS(Parts!$A$5:$A$82,B50,Parts!$C$5:$C$82,"Used")</f>
        <v>0</v>
      </c>
      <c r="E50" s="22">
        <f>COUNTIFS(Parts!$A$5:$A$82,B50,Parts!$C$5:$C$82,"Not used")</f>
        <v>8</v>
      </c>
      <c r="F50" s="22">
        <f t="shared" si="0"/>
        <v>0</v>
      </c>
    </row>
    <row r="51" spans="1:6">
      <c r="A51" s="23"/>
      <c r="B51" s="24" t="s">
        <v>326</v>
      </c>
      <c r="C51" s="25">
        <f>SUM(C11:C50)</f>
        <v>78</v>
      </c>
      <c r="D51" s="25">
        <f>SUM(D11:D50)</f>
        <v>32</v>
      </c>
      <c r="E51" s="25">
        <f>SUM(E11:E50)</f>
        <v>36</v>
      </c>
      <c r="F51" s="25">
        <f>SUM(F11:F50)</f>
        <v>10</v>
      </c>
    </row>
  </sheetData>
  <conditionalFormatting sqref="F11:F50">
    <cfRule type="expression" dxfId="0" priority="1">
      <formula>F11&gt;0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4.4"/>
  <cols>
    <col min="1" max="1" width="44" customWidth="1"/>
    <col min="2" max="2" width="50" customWidth="1"/>
    <col min="3" max="3" width="60" customWidth="1"/>
    <col min="4" max="4" width="20" customWidth="1"/>
  </cols>
  <sheetData>
    <row r="1" spans="1:4" ht="17.399999999999999">
      <c r="A1" s="1" t="s">
        <v>327</v>
      </c>
    </row>
    <row r="3" spans="1:4">
      <c r="A3" s="4" t="s">
        <v>328</v>
      </c>
      <c r="B3" s="4" t="s">
        <v>329</v>
      </c>
      <c r="C3" s="4" t="s">
        <v>330</v>
      </c>
      <c r="D3" s="4" t="s">
        <v>331</v>
      </c>
    </row>
    <row r="4" spans="1:4" ht="30" customHeight="1">
      <c r="A4" s="6" t="s">
        <v>332</v>
      </c>
      <c r="B4" s="6" t="s">
        <v>333</v>
      </c>
      <c r="C4" s="6" t="s">
        <v>334</v>
      </c>
      <c r="D4" s="7"/>
    </row>
    <row r="5" spans="1:4" ht="30" customHeight="1">
      <c r="A5" s="6" t="s">
        <v>335</v>
      </c>
      <c r="B5" s="6" t="s">
        <v>336</v>
      </c>
      <c r="C5" s="6" t="s">
        <v>337</v>
      </c>
      <c r="D5" s="7"/>
    </row>
    <row r="6" spans="1:4" ht="30" customHeight="1">
      <c r="A6" s="6" t="s">
        <v>338</v>
      </c>
      <c r="B6" s="6" t="s">
        <v>339</v>
      </c>
      <c r="C6" s="6" t="s">
        <v>340</v>
      </c>
      <c r="D6" s="7"/>
    </row>
    <row r="7" spans="1:4" ht="30" customHeight="1">
      <c r="A7" s="6" t="s">
        <v>341</v>
      </c>
      <c r="B7" s="6" t="s">
        <v>342</v>
      </c>
      <c r="C7" s="6" t="s">
        <v>343</v>
      </c>
      <c r="D7" s="7"/>
    </row>
    <row r="8" spans="1:4" ht="30" customHeight="1">
      <c r="A8" s="6" t="s">
        <v>344</v>
      </c>
      <c r="B8" s="6" t="s">
        <v>345</v>
      </c>
      <c r="C8" s="6" t="s">
        <v>346</v>
      </c>
      <c r="D8" s="7"/>
    </row>
    <row r="9" spans="1:4" ht="30" customHeight="1">
      <c r="A9" s="6" t="s">
        <v>347</v>
      </c>
      <c r="B9" s="6" t="s">
        <v>345</v>
      </c>
      <c r="C9" s="6" t="s">
        <v>346</v>
      </c>
      <c r="D9" s="7"/>
    </row>
    <row r="10" spans="1:4" ht="30" customHeight="1">
      <c r="A10" s="6" t="s">
        <v>348</v>
      </c>
      <c r="B10" s="6" t="s">
        <v>349</v>
      </c>
      <c r="C10" s="6" t="s">
        <v>350</v>
      </c>
      <c r="D10" s="7"/>
    </row>
    <row r="11" spans="1:4" ht="30" customHeight="1">
      <c r="A11" s="6" t="s">
        <v>351</v>
      </c>
      <c r="B11" s="6" t="s">
        <v>352</v>
      </c>
      <c r="C11" s="6" t="s">
        <v>353</v>
      </c>
      <c r="D11" s="7"/>
    </row>
    <row r="12" spans="1:4" ht="30" customHeight="1">
      <c r="A12" s="6" t="s">
        <v>354</v>
      </c>
      <c r="B12" s="6" t="s">
        <v>355</v>
      </c>
      <c r="C12" s="6" t="s">
        <v>356</v>
      </c>
      <c r="D12" s="7"/>
    </row>
    <row r="13" spans="1:4" ht="30" customHeight="1">
      <c r="A13" s="6" t="s">
        <v>357</v>
      </c>
      <c r="B13" s="6" t="s">
        <v>358</v>
      </c>
      <c r="C13" s="6" t="s">
        <v>359</v>
      </c>
      <c r="D13" s="7"/>
    </row>
    <row r="14" spans="1:4" ht="30" customHeight="1">
      <c r="A14" s="6" t="s">
        <v>360</v>
      </c>
      <c r="B14" s="6" t="s">
        <v>361</v>
      </c>
      <c r="C14" s="6" t="s">
        <v>356</v>
      </c>
      <c r="D14" s="7"/>
    </row>
  </sheetData>
  <dataValidations count="1">
    <dataValidation type="list" allowBlank="1" sqref="D4:D14" xr:uid="{00000000-0002-0000-0200-000000000000}">
      <formula1>"Yes - it is pinball"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.4"/>
  <cols>
    <col min="1" max="1" width="22" customWidth="1"/>
    <col min="2" max="2" width="100" customWidth="1"/>
  </cols>
  <sheetData>
    <row r="1" spans="1:2" ht="17.399999999999999">
      <c r="A1" s="1" t="s">
        <v>362</v>
      </c>
    </row>
    <row r="3" spans="1:2" ht="31.95" customHeight="1">
      <c r="A3" s="26" t="s">
        <v>363</v>
      </c>
      <c r="B3" s="27" t="s">
        <v>364</v>
      </c>
    </row>
    <row r="4" spans="1:2" ht="31.95" customHeight="1">
      <c r="A4" s="26" t="s">
        <v>365</v>
      </c>
      <c r="B4" s="27" t="s">
        <v>366</v>
      </c>
    </row>
    <row r="5" spans="1:2" ht="16.05" customHeight="1">
      <c r="A5" s="26" t="s">
        <v>367</v>
      </c>
      <c r="B5" s="27" t="s">
        <v>368</v>
      </c>
    </row>
    <row r="6" spans="1:2" ht="31.95" customHeight="1">
      <c r="A6" s="26" t="s">
        <v>369</v>
      </c>
      <c r="B6" s="27" t="s">
        <v>370</v>
      </c>
    </row>
    <row r="7" spans="1:2" ht="48" customHeight="1">
      <c r="A7" s="26" t="s">
        <v>371</v>
      </c>
      <c r="B7" s="27" t="s">
        <v>372</v>
      </c>
    </row>
    <row r="8" spans="1:2" ht="64.05" customHeight="1">
      <c r="A8" s="26" t="s">
        <v>373</v>
      </c>
      <c r="B8" s="27" t="s">
        <v>374</v>
      </c>
    </row>
    <row r="9" spans="1:2" ht="64.05" customHeight="1">
      <c r="A9" s="26" t="s">
        <v>375</v>
      </c>
      <c r="B9" s="27" t="s">
        <v>376</v>
      </c>
    </row>
    <row r="10" spans="1:2" ht="31.95" customHeight="1">
      <c r="A10" s="26" t="s">
        <v>377</v>
      </c>
      <c r="B10" s="27" t="s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Parts</vt:lpstr>
      <vt:lpstr>Summary</vt:lpstr>
      <vt:lpstr>Not pinball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Michalec Jakub</cp:lastModifiedBy>
  <dcterms:created xsi:type="dcterms:W3CDTF">2026-09-21T16:44:05Z</dcterms:created>
  <dcterms:modified xsi:type="dcterms:W3CDTF">2026-09-21T17:31:18Z</dcterms:modified>
</cp:coreProperties>
</file>